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swanlngpl-my.sharepoint.com/personal/jeevitha_balaraman_swan_co_in/Documents/Documents/Jeevi/ERA5 processing pipeline/backtest/"/>
    </mc:Choice>
  </mc:AlternateContent>
  <xr:revisionPtr revIDLastSave="0" documentId="11_D8E6AD7585BC83708DEF3D0D32EA01DD90FBD943" xr6:coauthVersionLast="47" xr6:coauthVersionMax="47" xr10:uidLastSave="{00000000-0000-0000-0000-000000000000}"/>
  <bookViews>
    <workbookView xWindow="-108" yWindow="-108" windowWidth="23256" windowHeight="12456" xr2:uid="{00000000-000D-0000-FFFF-FFFF00000000}"/>
  </bookViews>
  <sheets>
    <sheet name="Incidents &amp; thresholds" sheetId="1" r:id="rId1"/>
    <sheet name="Threshold definitions"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Pandhurna warning system</author>
  </authors>
  <commentList>
    <comment ref="S3" authorId="0" shapeId="0" xr:uid="{00000000-0006-0000-0000-000001000000}">
      <text>
        <r>
          <rPr>
            <sz val="11"/>
            <color theme="1"/>
            <rFont val="Calibri"/>
            <family val="2"/>
            <scheme val="minor"/>
          </rPr>
          <t>Yes if any listed rule reached Moderate or High in the warning period (see 'How to back-test').</t>
        </r>
      </text>
    </comment>
    <comment ref="T3" authorId="0" shapeId="0" xr:uid="{00000000-0006-0000-0000-000002000000}">
      <text>
        <r>
          <rPr>
            <sz val="11"/>
            <color theme="1"/>
            <rFont val="Calibri"/>
            <family val="2"/>
            <scheme val="minor"/>
          </rPr>
          <t>First day a listed rule reached Moderate or High in the warning period.</t>
        </r>
      </text>
    </comment>
    <comment ref="V3" authorId="0" shapeId="0" xr:uid="{00000000-0006-0000-0000-000003000000}">
      <text>
        <r>
          <rPr>
            <sz val="11"/>
            <color theme="1"/>
            <rFont val="Calibri"/>
            <family val="2"/>
            <scheme val="minor"/>
          </rPr>
          <t>Yes if the 7-day index was in the upper quarter (&gt;= 75th percentile) of 1991-2020 for that week.</t>
        </r>
      </text>
    </comment>
    <comment ref="W3" authorId="0" shapeId="0" xr:uid="{00000000-0006-0000-0000-000004000000}">
      <text>
        <r>
          <rPr>
            <sz val="11"/>
            <color theme="1"/>
            <rFont val="Calibri"/>
            <family val="2"/>
            <scheme val="minor"/>
          </rPr>
          <t>Rank of this year's count of days meeting the condition, among 1991-2025, in the same calendar window.</t>
        </r>
      </text>
    </comment>
    <comment ref="Q4" authorId="0" shapeId="0" xr:uid="{00000000-0006-0000-0000-000005000000}">
      <text>
        <r>
          <rPr>
            <sz val="11"/>
            <color theme="1"/>
            <rFont val="Calibri"/>
            <family val="2"/>
            <scheme val="minor"/>
          </rPr>
          <t>Why these thresholds: Gummosis is Phytophthora (wetness rule G-D02, ICAR brown-rot season T09); sooty mould grows on honeydew of sucking pests (psylla P01/G-P01, mealybug G-P03, blackfly season T13). Twig blight (Colletotrichum) has no compiled threshold. Next-step rules also tested: X-W01 soil waterlogging for &gt;= 72 h (Phytophthora root rot / gummosis).</t>
        </r>
      </text>
    </comment>
    <comment ref="Q5" authorId="0" shapeId="0" xr:uid="{00000000-0006-0000-0000-000006000000}">
      <text>
        <r>
          <rPr>
            <sz val="11"/>
            <color theme="1"/>
            <rFont val="Calibri"/>
            <family val="2"/>
            <scheme val="minor"/>
          </rPr>
          <t>Why these thresholds: Gummosis (Phytophthora; the paper gives no weather for the season, and its 'prolonged rainy periods' is general background on the disease): wetness rule G-D02, ICAR brown-rot season T09, ICAR waterlogging advisory A05. Next-step rules also tested: X-W01 soil waterlogging for &gt;= 72 h (Phytophthora root rot / gummosis). Note: Trial dates: the paper's methods give 'August till December 2015'; its abstract says 'year 2014-15'. The methods date is used. The paper states no weather for the trial season.</t>
        </r>
      </text>
    </comment>
    <comment ref="Q6" authorId="0" shapeId="0" xr:uid="{00000000-0006-0000-0000-000007000000}">
      <text>
        <r>
          <rPr>
            <sz val="11"/>
            <color theme="1"/>
            <rFont val="Calibri"/>
            <family val="2"/>
            <scheme val="minor"/>
          </rPr>
          <t>Why these thresholds: Slight gummosis reported in January: the only Phytophthora threshold is G-D02 (July-October), so no warning is expected in winter. Next-step rules also tested: X-W01 soil waterlogging for &gt;= 72 h (Phytophthora root rot / gummosis). Note: January report: also test the preceding monsoon (Jul-Oct 2021).</t>
        </r>
      </text>
    </comment>
    <comment ref="Q7" authorId="0" shapeId="0" xr:uid="{00000000-0006-0000-0000-000008000000}">
      <text>
        <r>
          <rPr>
            <sz val="11"/>
            <color theme="1"/>
            <rFont val="Calibri"/>
            <family val="2"/>
            <scheme val="minor"/>
          </rPr>
          <t>Why these thresholds: Continuous rain, fruit rot, Mrig bahar failure, gummosis: G-D02, T09, waterlogging advisory A05. Next-step rules also tested: X-W01 soil waterlogging for &gt;= 72 h (Phytophthora root rot / gummosis).</t>
        </r>
      </text>
    </comment>
    <comment ref="Q8" authorId="0" shapeId="0" xr:uid="{00000000-0006-0000-0000-000009000000}">
      <text>
        <r>
          <rPr>
            <sz val="11"/>
            <color theme="1"/>
            <rFont val="Calibri"/>
            <family val="2"/>
            <scheme val="minor"/>
          </rPr>
          <t>Why these thresholds: ICAR-CCRI brown-rot occurrence alert: G-D02 and ICAR brown-rot season T09. Next-step rules also tested: X-W01 soil waterlogging for &gt;= 72 h (Phytophthora root rot / gummosis); X-B01 brown-rot early-onset watch from 1 July. Note: The alert states no weather for 2021; its wet-weather text is a general description of the disease.</t>
        </r>
      </text>
    </comment>
    <comment ref="Q9" authorId="0" shapeId="0" xr:uid="{00000000-0006-0000-0000-00000A000000}">
      <text>
        <r>
          <rPr>
            <sz val="11"/>
            <color theme="1"/>
            <rFont val="Calibri"/>
            <family val="2"/>
            <scheme val="minor"/>
          </rPr>
          <t>Why these thresholds: Rules for the organism or cause reported.</t>
        </r>
      </text>
    </comment>
    <comment ref="Q10" authorId="0" shapeId="0" xr:uid="{00000000-0006-0000-0000-00000B000000}">
      <text>
        <r>
          <rPr>
            <sz val="11"/>
            <color theme="1"/>
            <rFont val="Calibri"/>
            <family val="2"/>
            <scheme val="minor"/>
          </rPr>
          <t>Why these thresholds: No weather threshold for blackfly was found in the sources; only the ICAR season window (T13) applies.</t>
        </r>
      </text>
    </comment>
    <comment ref="Q11" authorId="0" shapeId="0" xr:uid="{00000000-0006-0000-0000-00000C000000}">
      <text>
        <r>
          <rPr>
            <sz val="11"/>
            <color theme="1"/>
            <rFont val="Calibri"/>
            <family val="2"/>
            <scheme val="minor"/>
          </rPr>
          <t>Why these thresholds: Second test case for the new storm rule: ICAR-CCRI's advisory reports widespread hailstorm and unseasonal rain in the third week of March 2023 and heavy canker in acid lime after it (D01, D02). Next-step rules also tested: X-S01 unseasonal thunderstorm / hail (IMD gust categories).</t>
        </r>
      </text>
    </comment>
    <comment ref="Q12" authorId="0" shapeId="0" xr:uid="{00000000-0006-0000-0000-00000D000000}">
      <text>
        <r>
          <rPr>
            <sz val="11"/>
            <color theme="1"/>
            <rFont val="Calibri"/>
            <family val="2"/>
            <scheme val="minor"/>
          </rPr>
          <t>Why these thresholds: Fungal fruit drop after excess rain: G-D02 and T09. Next-step rules also tested: X-W01 soil waterlogging for &gt;= 72 h (Phytophthora root rot / gummosis).</t>
        </r>
      </text>
    </comment>
    <comment ref="Q13" authorId="0" shapeId="0" xr:uid="{00000000-0006-0000-0000-00000E000000}">
      <text>
        <r>
          <rPr>
            <sz val="11"/>
            <color theme="1"/>
            <rFont val="Calibri"/>
            <family val="2"/>
            <scheme val="minor"/>
          </rPr>
          <t>Why these thresholds: Fruitlet drop at 45 °C: ICAR heat thresholds H01 (Tmax &gt; 37 °C Mar-Apr), H02 (&gt; 30 °C), heat wave H04, and ICAR summer heat advisory A06. Next-step rules also tested: X-H01c fruitlet-drop heat on bias-corrected Tmax; X-H04c heat wave on bias-corrected Tmax; X-H01 pre-monsoon heat and dry-soil stress.</t>
        </r>
      </text>
    </comment>
    <comment ref="Q14" authorId="0" shapeId="0" xr:uid="{00000000-0006-0000-0000-00000F000000}">
      <text>
        <r>
          <rPr>
            <sz val="11"/>
            <color theme="1"/>
            <rFont val="Calibri"/>
            <family val="2"/>
            <scheme val="minor"/>
          </rPr>
          <t>Why these thresholds: Rules for the organism or cause reported.</t>
        </r>
      </text>
    </comment>
    <comment ref="Q15" authorId="0" shapeId="0" xr:uid="{00000000-0006-0000-0000-000010000000}">
      <text>
        <r>
          <rPr>
            <sz val="11"/>
            <color theme="1"/>
            <rFont val="Calibri"/>
            <family val="2"/>
            <scheme val="minor"/>
          </rPr>
          <t>Why these thresholds: No weather threshold for Colletotrichum fruit drop was found (gap); the report links it to scanty rain, so the drought and fungal-wetness rules are tested.</t>
        </r>
      </text>
    </comment>
    <comment ref="Q16" authorId="0" shapeId="0" xr:uid="{00000000-0006-0000-0000-000011000000}">
      <text>
        <r>
          <rPr>
            <sz val="11"/>
            <color theme="1"/>
            <rFont val="Calibri"/>
            <family val="2"/>
            <scheme val="minor"/>
          </rPr>
          <t>Why these thresholds: Rules for the organism or cause reported.</t>
        </r>
      </text>
    </comment>
    <comment ref="Q17" authorId="0" shapeId="0" xr:uid="{00000000-0006-0000-0000-000012000000}">
      <text>
        <r>
          <rPr>
            <sz val="11"/>
            <color theme="1"/>
            <rFont val="Calibri"/>
            <family val="2"/>
            <scheme val="minor"/>
          </rPr>
          <t>Why these thresholds: Rules for the organism or cause reported.</t>
        </r>
      </text>
    </comment>
    <comment ref="Q18" authorId="0" shapeId="0" xr:uid="{00000000-0006-0000-0000-000013000000}">
      <text>
        <r>
          <rPr>
            <sz val="11"/>
            <color theme="1"/>
            <rFont val="Calibri"/>
            <family val="2"/>
            <scheme val="minor"/>
          </rPr>
          <t>Why these thresholds: Rules for the organism or cause reported.</t>
        </r>
      </text>
    </comment>
    <comment ref="Q19" authorId="0" shapeId="0" xr:uid="{00000000-0006-0000-0000-000014000000}">
      <text>
        <r>
          <rPr>
            <sz val="11"/>
            <color theme="1"/>
            <rFont val="Calibri"/>
            <family val="2"/>
            <scheme val="minor"/>
          </rPr>
          <t>Why these thresholds: One of five heavy fruitlet-drop years listed by ICAR-CCRI; the other years of 1991-2012 can be used as years without heavy drop (false-alarm test).</t>
        </r>
      </text>
    </comment>
    <comment ref="Q20" authorId="0" shapeId="0" xr:uid="{00000000-0006-0000-0000-000015000000}">
      <text>
        <r>
          <rPr>
            <sz val="11"/>
            <color theme="1"/>
            <rFont val="Calibri"/>
            <family val="2"/>
            <scheme val="minor"/>
          </rPr>
          <t>Why these thresholds: Rules for the organism or cause reported.</t>
        </r>
      </text>
    </comment>
    <comment ref="Q21" authorId="0" shapeId="0" xr:uid="{00000000-0006-0000-0000-000016000000}">
      <text>
        <r>
          <rPr>
            <sz val="11"/>
            <color theme="1"/>
            <rFont val="Calibri"/>
            <family val="2"/>
            <scheme val="minor"/>
          </rPr>
          <t>Why these thresholds: Rules for the organism or cause reported.</t>
        </r>
      </text>
    </comment>
    <comment ref="Q22" authorId="0" shapeId="0" xr:uid="{00000000-0006-0000-0000-000017000000}">
      <text>
        <r>
          <rPr>
            <sz val="11"/>
            <color theme="1"/>
            <rFont val="Calibri"/>
            <family val="2"/>
            <scheme val="minor"/>
          </rPr>
          <t>Why these thresholds: Rules for the organism or cause reported.</t>
        </r>
      </text>
    </comment>
    <comment ref="Q23" authorId="0" shapeId="0" xr:uid="{00000000-0006-0000-0000-000018000000}">
      <text>
        <r>
          <rPr>
            <sz val="11"/>
            <color theme="1"/>
            <rFont val="Calibri"/>
            <family val="2"/>
            <scheme val="minor"/>
          </rPr>
          <t>Why these thresholds: Rules for the organism or cause reported.</t>
        </r>
      </text>
    </comment>
    <comment ref="Q24" authorId="0" shapeId="0" xr:uid="{00000000-0006-0000-0000-000019000000}">
      <text>
        <r>
          <rPr>
            <sz val="11"/>
            <color theme="1"/>
            <rFont val="Calibri"/>
            <family val="2"/>
            <scheme val="minor"/>
          </rPr>
          <t>Why these thresholds: Trees dying as the monsoon was delayed: ICAR dry-spell H05, heat wave H04, fruit-drop heat H02. Next-step rules also tested: X-H01 pre-monsoon heat and dry-soil stress; X-H04c heat wave on bias-corrected Tmax.</t>
        </r>
      </text>
    </comment>
    <comment ref="Q25" authorId="0" shapeId="0" xr:uid="{00000000-0006-0000-0000-00001A000000}">
      <text>
        <r>
          <rPr>
            <sz val="11"/>
            <color theme="1"/>
            <rFont val="Calibri"/>
            <family val="2"/>
            <scheme val="minor"/>
          </rPr>
          <t>Why these thresholds: Rules for the organism or cause reported.</t>
        </r>
      </text>
    </comment>
    <comment ref="Q26" authorId="0" shapeId="0" xr:uid="{00000000-0006-0000-0000-00001B000000}">
      <text>
        <r>
          <rPr>
            <sz val="11"/>
            <color theme="1"/>
            <rFont val="Calibri"/>
            <family val="2"/>
            <scheme val="minor"/>
          </rPr>
          <t>Why these thresholds: Phytophthora brown rot and severe fruit drop: G-D02, fungal wetness G-D01, T09. Next-step rules also tested: X-W01 soil waterlogging for &gt;= 72 h (Phytophthora root rot / gummosis).</t>
        </r>
      </text>
    </comment>
    <comment ref="Q27" authorId="0" shapeId="0" xr:uid="{00000000-0006-0000-0000-00001C000000}">
      <text>
        <r>
          <rPr>
            <sz val="11"/>
            <color theme="1"/>
            <rFont val="Calibri"/>
            <family val="2"/>
            <scheme val="minor"/>
          </rPr>
          <t>Why these thresholds: January report of decline with fungal infection: test the preceding monsoon (Jul-Oct 2020), since Phytophthora infects in the wet season and is seen later.</t>
        </r>
      </text>
    </comment>
    <comment ref="Q28" authorId="0" shapeId="0" xr:uid="{00000000-0006-0000-0000-00001D000000}">
      <text>
        <r>
          <rPr>
            <sz val="11"/>
            <color theme="1"/>
            <rFont val="Calibri"/>
            <family val="2"/>
            <scheme val="minor"/>
          </rPr>
          <t>Why these thresholds: Unprecedented Ambia fruit drop in Aug-Sep: G-D02 (wet), H06 (Sep-Oct heat, sunscald), T09. Next-step rules also tested: X-W01 soil waterlogging for &gt;= 72 h (Phytophthora root rot / gummosis).</t>
        </r>
      </text>
    </comment>
    <comment ref="Q29" authorId="0" shapeId="0" xr:uid="{00000000-0006-0000-0000-00001E000000}">
      <text>
        <r>
          <rPr>
            <sz val="11"/>
            <color theme="1"/>
            <rFont val="Calibri"/>
            <family val="2"/>
            <scheme val="minor"/>
          </rPr>
          <t>Why these thresholds: Hailstorm with mandarin fruit drop: storm rule X-S01, canker rules D02/D01. Next-step rules also tested: X-S01 unseasonal thunderstorm / hail (IMD gust categories).</t>
        </r>
      </text>
    </comment>
    <comment ref="Q30" authorId="0" shapeId="0" xr:uid="{00000000-0006-0000-0000-00001F000000}">
      <text>
        <r>
          <rPr>
            <sz val="11"/>
            <color theme="1"/>
            <rFont val="Calibri"/>
            <family val="2"/>
            <scheme val="minor"/>
          </rPr>
          <t>Why these thresholds: Fruit drop in early August, cause not stated: the wet-weather rules that caught the brown-rot cases (G-D02, G-D01, X-W01) and the early-onset watch X-B01. Next-step rules also tested: X-W01 soil waterlogging for &gt;= 72 h (Phytophthora root rot / gummosis); X-B01 brown-rot early-onset watch from 1 July.</t>
        </r>
      </text>
    </comment>
    <comment ref="Q31" authorId="0" shapeId="0" xr:uid="{00000000-0006-0000-0000-000020000000}">
      <text>
        <r>
          <rPr>
            <sz val="11"/>
            <color theme="1"/>
            <rFont val="Calibri"/>
            <family val="2"/>
            <scheme val="minor"/>
          </rPr>
          <t>Why these thresholds: Sweet orange fruit drop in the 2020 brown-rot season (the same season as AD05 in Katol, tested here in a second cell 25 km west). Next-step rules also tested: X-W01 soil waterlogging for &gt;= 72 h (Phytophthora root rot / gummosis).</t>
        </r>
      </text>
    </comment>
    <comment ref="Q32" authorId="0" shapeId="0" xr:uid="{00000000-0006-0000-0000-000021000000}">
      <text>
        <r>
          <rPr>
            <sz val="11"/>
            <color theme="1"/>
            <rFont val="Calibri"/>
            <family val="2"/>
            <scheme val="minor"/>
          </rPr>
          <t>Why these thresholds: Hail at Buchankhapa: storm rule X-S01 (IMD gust categories) and the ICAR canker rules D02/D01 (ICAR's hail advisory links canker to rain and hail). Next-step rules also tested: X-S01 unseasonal thunderstorm / hail (IMD gust categories).</t>
        </r>
      </text>
    </comment>
    <comment ref="Q33" authorId="0" shapeId="0" xr:uid="{00000000-0006-0000-0000-000022000000}">
      <text>
        <r>
          <rPr>
            <sz val="11"/>
            <color theme="1"/>
            <rFont val="Calibri"/>
            <family val="2"/>
            <scheme val="minor"/>
          </rPr>
          <t>Why these thresholds: Severe hail on 11-12 June: storm rule X-S01 and wind-driven rain D02. The storm fell after the 8 June monsoon onset date that ends X-S01's season, so this case tests the season boundary. Next-step rules also tested: X-S01 unseasonal thunderstorm / hail (IMD gust categories).</t>
        </r>
      </text>
    </comment>
    <comment ref="Q34" authorId="0" shapeId="0" xr:uid="{00000000-0006-0000-0000-000023000000}">
      <text>
        <r>
          <rPr>
            <sz val="11"/>
            <color theme="1"/>
            <rFont val="Calibri"/>
            <family val="2"/>
            <scheme val="minor"/>
          </rPr>
          <t>Why these thresholds: Sudden storm with over 2 h of heavy rain. No compiled threshold targets storms or hail; the closest are the ICAR canker rules: wind-driven rain D02 (rain with wind &gt; 8 m/s) and canker weather D01 (ICAR's hail advisory links canker to rain and hail). Next-step rules also tested: X-S01 unseasonal thunderstorm / hail (IMD gust categories).</t>
        </r>
      </text>
    </comment>
  </commentList>
</comments>
</file>

<file path=xl/sharedStrings.xml><?xml version="1.0" encoding="utf-8"?>
<sst xmlns="http://schemas.openxmlformats.org/spreadsheetml/2006/main" count="899" uniqueCount="613">
  <si>
    <t>Pandhurna citrus warning system - reported stress incidents and the thresholds to back-test</t>
  </si>
  <si>
    <t>Incident ID</t>
  </si>
  <si>
    <t>Stress class</t>
  </si>
  <si>
    <t>Pest / disease / stress</t>
  </si>
  <si>
    <t>What was reported</t>
  </si>
  <si>
    <t>Climate / weather conditions stated in the source</t>
  </si>
  <si>
    <t>Verbatim excerpt (checked against the saved source)</t>
  </si>
  <si>
    <t>Source</t>
  </si>
  <si>
    <t>Source type</t>
  </si>
  <si>
    <t>Date of publication</t>
  </si>
  <si>
    <t>URL / document</t>
  </si>
  <si>
    <t>Location of study / report (as stated)</t>
  </si>
  <si>
    <t>District, State</t>
  </si>
  <si>
    <t>Distance from Pandhurna</t>
  </si>
  <si>
    <t>ERA5-Land 0.1° cell used by us (centre)</t>
  </si>
  <si>
    <t>Incident period - start</t>
  </si>
  <si>
    <t>Incident period - end</t>
  </si>
  <si>
    <t>Thresholds to test (IDs; see sheet 2)</t>
  </si>
  <si>
    <t>Threshold conditions - current version</t>
  </si>
  <si>
    <t>Alert generated? (Yes / No)</t>
  </si>
  <si>
    <t>First alert date (yyyy-mm-dd)</t>
  </si>
  <si>
    <t>Highest level (Low / Moderate / High)</t>
  </si>
  <si>
    <t>Above normal for the week? (Yes / No)</t>
  </si>
  <si>
    <t>Year percentile 1991-2025 (0-100)</t>
  </si>
  <si>
    <t>GIS team remarks</t>
  </si>
  <si>
    <t>I01</t>
  </si>
  <si>
    <t>Biotic - disease (+ insect honeydew)</t>
  </si>
  <si>
    <t>Gummosis; sooty mould; twig blight</t>
  </si>
  <si>
    <t>Gummosis 41.6% (18-66%), sooty mould 31.1%, twig blight 30.7% plant infection; incidence highest in January</t>
  </si>
  <si>
    <t>Low temperature, high humidity, frequent rain (authors)</t>
  </si>
  <si>
    <t>in village Pardi the highest gummosis incidence ... average incidence was recorded 41.63</t>
  </si>
  <si>
    <t>Thakre &amp; Sharma (2022) J. Plant Dev. Sci. 14(7):631-634 (JNKVV ZARS Chhindwara)</t>
  </si>
  <si>
    <t>Journal survey</t>
  </si>
  <si>
    <t>2022 (J. Plant Dev. Sci. vol. 14 no. 7)</t>
  </si>
  <si>
    <t>https://jpds.co.in/wp-content/uploads/2022/08/4.Bhupendra-Thakre-22391.pdf</t>
  </si>
  <si>
    <t>Pandhurna block: Garhkhapa, Rajna, Pandhurna, Seoni, Ridhora, Rajaripipla, Sawaspani, Bhuli, Hiwra, Pardi</t>
  </si>
  <si>
    <t>Pandhurna, MP</t>
  </si>
  <si>
    <t>Pandhurna</t>
  </si>
  <si>
    <t>21.6_78.6  (21.6 N, 78.6 E)</t>
  </si>
  <si>
    <t>2020-07-01</t>
  </si>
  <si>
    <t>2021-06-30</t>
  </si>
  <si>
    <t>G-D02, T09, P01, G-P01, G-P03, T13, X-W01</t>
  </si>
  <si>
    <t>G-D02: Phytophthora brown rot - sporulation and infection day - Leaf wetness &gt;= 18 h with daily mean temperature &gt; 22 °C, July-October
T09: Phytophthora brown rot - Active in: Aug, Sep, Oct (from 08-15). Late monsoon mid-August to October after continuous wet weather (ICAR-CCRI alert 2021)
P01: Citrus psylla - conducive temperature - Daily mean temperature 25-30 °C
G-P01: Asian Citrus Psylla (Diaphorina citri) - new-adult emergence window - Daily degree-days above 10.5 °C with upper cut-off 33.0 °C, accumulated from 1 January; 250.0 DD per generation; flag = the last 63.3 DD of each generation (adult pre-oviposition / new-adult emergence window)
G-P03: Citrus Mealybug (Planococcus citri) - new-adult emergence window - Daily degree-days above 8.5 °C with upper cut-off 27.5 °C, accumulated from 1 January; 666.67 DD per generation; flag = the last 182.3 DD of each generation (adult pre-oviposition / new-adult emergence window)
T13: Citrus blackfly - Active in: Apr, Aug, Dec. Normally active April, August, December; ETL 5-10 nymphs/leaf (ICAR-CCRI advisory 2022)
X-W01: Soil waterlogging - Phytophthora root rot / gummosis risk - Root zone at field capacity with rain &gt;= crop ET for &gt;= 3 consecutive days (72 h), FAO-56 water balance for citrus on clay</t>
  </si>
  <si>
    <t>Yes</t>
  </si>
  <si>
    <t>2020-06-16</t>
  </si>
  <si>
    <t>High</t>
  </si>
  <si>
    <t>ERA5-Land 0.1°, cell 21.6_78.6, checked 2020-06-16 to 2021-06-30. G-D02: first alert 2020-08-08 (38 d after start), highest Moderate. P01: first alert 2020-06-16 (already active when the check window opens), highest High. G-P01: first alert 2020-06-16 (already active when the check window opens), highest High. G-P03: first alert 2020-06-16 (already active when the check window opens), highest High. X-W01: first alert 2020-06-17 (14 d before start), 40.0 alert days. Calendar (not counted as alert): T09 active from 2020-08-15; T13 active from 2020-08-01.</t>
  </si>
  <si>
    <t>I02</t>
  </si>
  <si>
    <t>Biotic - disease</t>
  </si>
  <si>
    <t>Gummosis (Phytophthora)</t>
  </si>
  <si>
    <t>Lesion development started in September; maximum development September and November 2015</t>
  </si>
  <si>
    <t>Not stated for the trial season. General background in the paper: gummosis 'is especially troublesome during prolonged rainy periods'</t>
  </si>
  <si>
    <t>lesion stared from September ... maximum during September and November</t>
  </si>
  <si>
    <t>Thakre, Soni &amp; Gour (2017) IJCMAS 6(7):2395-2400</t>
  </si>
  <si>
    <t>Journal trial</t>
  </si>
  <si>
    <t>2017 (IJCMAS vol. 6 no. 7)</t>
  </si>
  <si>
    <t>https://www.ijcmas.com/6-7-2017/Bhupendra%20Thakre%2C%20et%20al.pdf</t>
  </si>
  <si>
    <t>ZARS Mohgaon Haveli, Sausar block</t>
  </si>
  <si>
    <t>Pandhurna (Sausar tehsil), MP</t>
  </si>
  <si>
    <t>Pandhurna district</t>
  </si>
  <si>
    <t>21.6_78.8  (21.6 N, 78.8 E)</t>
  </si>
  <si>
    <t>2015-08-01</t>
  </si>
  <si>
    <t>2015-12-31</t>
  </si>
  <si>
    <t>G-D02, T09, A05, X-W01</t>
  </si>
  <si>
    <t>G-D02: Phytophthora brown rot - sporulation and infection day - Leaf wetness &gt;= 18 h with daily mean temperature &gt; 22 °C, July-October
T09: Phytophthora brown rot - Active in: Aug, Sep, Oct (from 08-15). Late monsoon mid-August to October after continuous wet weather (ICAR-CCRI alert 2021)
A05: Waterlogging risk (monsoon) - Active in: Jun, Jul, Aug, Sep. Continuous high rainfall in a short span leading to waterlogging (ICAR-CRIDA Contingency Plan; the plan gives no months - June-September taken from the kharif crop stages it lists)
X-W01: Soil waterlogging - Phytophthora root rot / gummosis risk - Root zone at field capacity with rain &gt;= crop ET for &gt;= 3 consecutive days (72 h), FAO-56 water balance for citrus on clay</t>
  </si>
  <si>
    <t>I03</t>
  </si>
  <si>
    <t>Gummosis</t>
  </si>
  <si>
    <t>'थोड़ा प्रकोप देखने को मिला है' - slight gummosis incidence in Pandhurna in the 2021-22 season</t>
  </si>
  <si>
    <t>None given</t>
  </si>
  <si>
    <t>गमोंसीस नमक बीमारी का थोड़ा प्रकोप देखने को मिला है</t>
  </si>
  <si>
    <t>Patrika, 'Story of Orange City' (7 Jan 2022)</t>
  </si>
  <si>
    <t>News (Hindi)</t>
  </si>
  <si>
    <t>07 Jan 2022</t>
  </si>
  <si>
    <t>https://www.patrika.com/chhindwara-news/story-of-orange-city-sweetness-of-oranges-turning-into-bitterness-7262300/</t>
  </si>
  <si>
    <t>21.6_78.5  (21.6 N, 78.5 E)</t>
  </si>
  <si>
    <t>2022-01-07</t>
  </si>
  <si>
    <t>G-D02, T09, X-W01</t>
  </si>
  <si>
    <t>G-D02: Phytophthora brown rot - sporulation and infection day - Leaf wetness &gt;= 18 h with daily mean temperature &gt; 22 °C, July-October
T09: Phytophthora brown rot - Active in: Aug, Sep, Oct (from 08-15). Late monsoon mid-August to October after continuous wet weather (ICAR-CCRI alert 2021)
X-W01: Soil waterlogging - Phytophthora root rot / gummosis risk - Root zone at field capacity with rain &gt;= crop ET for &gt;= 3 consecutive days (72 h), FAO-56 water balance for citrus on clay</t>
  </si>
  <si>
    <t>I04</t>
  </si>
  <si>
    <t>Fruit rot on tree; Mrig bahar failure; gummosis increasing</t>
  </si>
  <si>
    <t>Continuous rain; Mrig bahar crop failed; gummosis 'increased in the last few years' (ZARS scientist)</t>
  </si>
  <si>
    <t>Continuous rain</t>
  </si>
  <si>
    <t>last year due to continuous rain, there was moisture in the soil which is not right for Mrig Bahar ... gummosis disease has increased in oranges in the last few years</t>
  </si>
  <si>
    <t>Ground Report (24 Feb 2025)</t>
  </si>
  <si>
    <t>News</t>
  </si>
  <si>
    <t>24 Feb 2025</t>
  </si>
  <si>
    <t>https://www.groundreport.in/groundreport/erratic-rainfall-orange-farmers-and-traders-suffer-in-pandhura-8751469/</t>
  </si>
  <si>
    <t>Pandhurna and Saunsar blocks</t>
  </si>
  <si>
    <t>Pandhurna (Pandhurna and Sausar tehsils), MP</t>
  </si>
  <si>
    <t>2024-06-01</t>
  </si>
  <si>
    <t>2024-10-31</t>
  </si>
  <si>
    <t>I05</t>
  </si>
  <si>
    <t>Phytophthora brown rot</t>
  </si>
  <si>
    <t>'Incidence of Phytophthora brown rot disease has started appearing' in Katol and Narkhed</t>
  </si>
  <si>
    <t>Not stated for 2021. The alert describes the disease in general: 'usually associated with continuous wet weather and poor water drainage', appearing 'following periods of extended high rainfall'</t>
  </si>
  <si>
    <t>brown rot disease has started appearing in citrus growing ... Katol and Narkhed talukas</t>
  </si>
  <si>
    <t>ICAR-CCRI Disease Occurrence Alert (5 Jul 2021)</t>
  </si>
  <si>
    <t>ICAR-CCRI alert</t>
  </si>
  <si>
    <t>05 Jul 2021 (date on the alert)</t>
  </si>
  <si>
    <t>https://ccri.org.in/site/assets/files/1167/icar_ccri_phytopthora_brown_rot_advisory_english_july_2021.pdf</t>
  </si>
  <si>
    <t>Katol and Narkhed talukas, Nagpur district (Narkhed borders Pandhurna)</t>
  </si>
  <si>
    <t>Nagpur, MH</t>
  </si>
  <si>
    <t>Adjacent (&lt;40 km)</t>
  </si>
  <si>
    <t>21.5_78.5  (21.5 N, 78.5 E)</t>
  </si>
  <si>
    <t>2021-07-05</t>
  </si>
  <si>
    <t>G-D02, T09, X-W01, X-B01</t>
  </si>
  <si>
    <t>G-D02: Phytophthora brown rot - sporulation and infection day - Leaf wetness &gt;= 18 h with daily mean temperature &gt; 22 °C, July-October
T09: Phytophthora brown rot - Active in: Aug, Sep, Oct (from 08-15). Late monsoon mid-August to October after continuous wet weather (ICAR-CCRI alert 2021)
X-W01: Soil waterlogging - Phytophthora root rot / gummosis risk - Root zone at field capacity with rain &gt;= crop ET for &gt;= 3 consecutive days (72 h), FAO-56 water balance for citrus on clay
X-B01: Brown-rot early-onset watch - Active in: Jul, Aug (from 07-01). Brown rot can start in early July: ICAR-CCRI Disease Occurrence Alert of 5 July 2021 ('incidence of Phytophthora brown rot disease has started appearing' in Katol and Narkhed), ahead of the usual mid-August onset (T09); Timmer et al. 2000: epidemics from July to October.</t>
  </si>
  <si>
    <t>No</t>
  </si>
  <si>
    <t>-</t>
  </si>
  <si>
    <t>None</t>
  </si>
  <si>
    <t>ERA5-Land 0.1°, cell 21.5_78.5, checked 2021-06-20 to 2021-07-05. G-D02: no alert. X-W01: no alert. Calendar (not counted as alert): T09 not active; X-B01 active from 2021-07-01.</t>
  </si>
  <si>
    <t>I06</t>
  </si>
  <si>
    <t>Biotic - insect / mite pest</t>
  </si>
  <si>
    <t>Fruit fly; mites (rust &amp; green); fruit-sucking moth</t>
  </si>
  <si>
    <t>Outbreaks on Ambia fruit; rust and green mite upsurge in some Vidarbha districts</t>
  </si>
  <si>
    <t>'Weather change and continuous rain in recent months ... temperature rising after rain stopped'</t>
  </si>
  <si>
    <t>(transcribed from page image) विविध किडींचा प्रादुर्भाव आंबियाच्या फळांवर दिसून येत आहे</t>
  </si>
  <si>
    <t>ICAR-CCRI Advisory (16 Oct 2021, Marathi)</t>
  </si>
  <si>
    <t>ICAR-CCRI advisory</t>
  </si>
  <si>
    <t>16 Oct 2021 (advisory date)</t>
  </si>
  <si>
    <t>https://ccri.org.in/site/assets/files/1167/icar-ccri_advisory_fruit_fly-_fsm_and_mites_oct_2021.pdf</t>
  </si>
  <si>
    <t>Vidarbha (several districts)</t>
  </si>
  <si>
    <t>Vidarbha region, MH</t>
  </si>
  <si>
    <t>Regional</t>
  </si>
  <si>
    <t>21.1_79.1  (21.1 N, 79.1 E)</t>
  </si>
  <si>
    <t>2021-10-16</t>
  </si>
  <si>
    <t>G-P05, T10, T11, T12</t>
  </si>
  <si>
    <t>G-P05: Oriental Fruit Fly (Bactrocera dorsalis) - adult pre-oviposition window - Daily degree-days above 10.6 °C with upper cut-off 33.0 °C, accumulated from 1 January; 437.4 DD per generation; flag = the last 79.2 DD of each generation (adult pre-oviposition / new-adult emergence window)
T10: Fruit fly (Ambia fruit ripening) - Active in: Sep, Oct, Nov. Active September-November; ETL 10% dropped fruit (ICAR-CCRI advisory 2021)
T11: Fruit-sucking moth - Active in: Aug, Sep, Oct, Nov. Active August-November; ETL 10% dropped fruit (ICAR-CCRI advisory 2021)
T12: Mites (rust / green) - Active in: Apr, May, Oct, Nov, Dec. Active April-May and October-December; water stress increases mites; ETL 2% fruit / 10% leaves (ICAR-CCRI advisories 2021, 2022)</t>
  </si>
  <si>
    <t>I07</t>
  </si>
  <si>
    <t>Biotic - insect pest</t>
  </si>
  <si>
    <t>Citrus blackfly</t>
  </si>
  <si>
    <t>Blackfly adults 'in very large numbers' in November (normally active Apr/Aug/Dec)</t>
  </si>
  <si>
    <t>(transcribed from page image) नोव्हेंबर महिन्यात खूप मोठ्या प्रमाणात आढळुन आली आहे</t>
  </si>
  <si>
    <t>ICAR-CCRI Blackfly advisory (21 Nov 2022, Marathi)</t>
  </si>
  <si>
    <t>21 Nov 2022 (advisory date)</t>
  </si>
  <si>
    <t>https://ccri.org.in/site/assets/files/1167/ccriblackfly.pdf</t>
  </si>
  <si>
    <t>Not named in the advisory (ICAR-CCRI Nagpur advisory to orange and mosambi growers; Vidarbha inferred)</t>
  </si>
  <si>
    <t>Not named (ICAR-CCRI Nagpur); Vidarbha inferred, MH</t>
  </si>
  <si>
    <t>2022-11-21</t>
  </si>
  <si>
    <t>T13</t>
  </si>
  <si>
    <t>T13: Citrus blackfly - Active in: Apr, Aug, Dec. Normally active April, August, December; ETL 5-10 nymphs/leaf (ICAR-CCRI advisory 2022)</t>
  </si>
  <si>
    <t>I08</t>
  </si>
  <si>
    <t>Abiotic (hail) + biotic (canker)</t>
  </si>
  <si>
    <t>Citrus canker (acid lime) after hail; fruit drop</t>
  </si>
  <si>
    <t>Widespread hailstorm and unseasonal rain in third week of March 2023; canker heavy in acid lime after rain/hail</t>
  </si>
  <si>
    <t>Hailstorm; unseasonal rain</t>
  </si>
  <si>
    <t>occurrence of hailstorm and unseasonal rainfall have been reported in different parts of Vidarbha and Marathwada during third week of March, 2023 ... citrus canker occurs heavily due to rains and hailstorm</t>
  </si>
  <si>
    <t>ICAR-CCRI Advisory (21 Mar 2023)</t>
  </si>
  <si>
    <t>21 Mar 2023 (advisory date)</t>
  </si>
  <si>
    <t>https://ccri.org.in/site/assets/files/1167/advisory_for_hailstorm_and_unseasonal_rainfall_in_citrus_orchards.pdf</t>
  </si>
  <si>
    <t>Vidarbha and Marathwada</t>
  </si>
  <si>
    <t>Vidarbha and Marathwada, MH</t>
  </si>
  <si>
    <t>2023-03-15</t>
  </si>
  <si>
    <t>2023-03-21</t>
  </si>
  <si>
    <t>X-S01, D02, D01</t>
  </si>
  <si>
    <t>X-S01: Unseasonal thunderstorm / hail damage risk - Outside the monsoon (8 Oct - 7 Jun): daily peak wind gust &gt;= 30 km/h with a rain day &gt;= 2.5 mm (Moderate) or &gt;= 40 km/h with a rain day (High); gust &gt;= 30 km/h with any measurable rain &gt;= 0.1 mm = Low (watch)
D02: Citrus canker - wind-driven rain - At least one hour with rain (&gt;= 0.1 mm) and wind &gt; 8 m/s
D01: Citrus canker - conducive weather - Tmin &gt;= 24 °C, Tmax &lt;= 37 °C, RH &gt;= 76 %, wind &gt;= 6.4 km/h (same day)</t>
  </si>
  <si>
    <t>I09</t>
  </si>
  <si>
    <t>Fungal fruit drop (orange and mosambi) after excess rain</t>
  </si>
  <si>
    <t>'अति पावसामुळे संत्रा व मोसंबीची फळगळ मोठ्या प्रमाणात झाली' - large fruit drop from excess rain; Rs 28.82 crore compensation sanctioned for Narkhed (panchnama to 16 Oct 2024)</t>
  </si>
  <si>
    <t>Excess rainfall</t>
  </si>
  <si>
    <t>अति पावसामुळे संत्रा व मोसंबीची फळगळ मोठ्या प्रमाणात झाली ... निवडणूक तोंडावर असल्याने ... १६ ऑक्टोबरपर्यंत ... चरणसिंग ठाकूर, आमदार, काटोल</t>
  </si>
  <si>
    <t>Agrowon (3 Feb 2025)</t>
  </si>
  <si>
    <t>News (Marathi)</t>
  </si>
  <si>
    <t>03 Feb 2025</t>
  </si>
  <si>
    <t>https://agrowon.esakal.com/agro-special/orange-crop-loss-farmers-await-compensation-amid-uncertainty</t>
  </si>
  <si>
    <t>Narkhed and Katol talukas, Nagpur district</t>
  </si>
  <si>
    <t>2024-07-01</t>
  </si>
  <si>
    <t>2024-10-16</t>
  </si>
  <si>
    <t>I10</t>
  </si>
  <si>
    <t>Abiotic - heat (+ fungal)</t>
  </si>
  <si>
    <t>'Black fungus' fruitlet drop (Ambia) under heat</t>
  </si>
  <si>
    <t>Fruitlets dropped at lemon size; 10,712 ha orange and 6,000 ha mosambi affected in Narkhed</t>
  </si>
  <si>
    <t>Temperature up to 45 °C; earlier excess rain damaged the other bahar</t>
  </si>
  <si>
    <t>नागपुर में तापमान 45 डिग्री तक चला गया ... नरखेड़ तालुका में 10,712 हेक्टर में संतरे की</t>
  </si>
  <si>
    <t>AajTak (7 May 2022)</t>
  </si>
  <si>
    <t>07 May 2022</t>
  </si>
  <si>
    <t>https://www.aajtak.in/agriculture/agriculture-rural-news/story/nagpur-orange-crop-damaged-weather-condition-heat-black-fungus-farmers-worried-lbsa-1459476-2022-05-07</t>
  </si>
  <si>
    <t>Narkhed taluka, Nagpur district</t>
  </si>
  <si>
    <t>2022-04-01</t>
  </si>
  <si>
    <t>2022-05-07</t>
  </si>
  <si>
    <t>H01, H02, H04, A06, X-H01c, X-H04c, X-H01</t>
  </si>
  <si>
    <t>H01: Fruitlet drop - supra-optimal Tmax in Mar-Apr - Tmax &gt; 37 °C in March or April
H02: Fruit drop - temperature above 30 °C - Tmax &gt; 30 °C
H04: Heat wave (IMD criteria, ICAR-CRIDA 2022) - Tmax &gt;= 40 °C with departure from 1991-2020 normal &gt;= 5 °C (normal &lt;= 40) or &gt;= 4 °C (normal &gt; 40), or Tmax &gt;= 45 °C, on 2 consecutive days; severe: departure &gt;= 7 / &gt;= 6 °C
A06: Summer heat and water stress (irrigate, mulch) - Active in: Apr, May. Rising temperature causes fruit drop in April-May; water stress aggravates mites (ICAR-CCRI 2022)
X-H01c: Fruitlet drop - Tmax &gt; 37 °C Mar-Apr on bias-corrected Tmax - As H01, on bias-corrected Tmax
X-H04c: Heat wave (IMD criteria) on bias-corrected Tmax - As H04, on Tmax corrected to the IMD Nagpur station (quantile mapping by month)
X-H01: Pre-monsoon heat and dry-soil stress - April-June: no rain day for &gt;= 15 days and bias-corrected Tmax &gt;= 40 °C (Moderate) or &gt;= 45 °C (High)</t>
  </si>
  <si>
    <t>I11</t>
  </si>
  <si>
    <t>Abiotic - drought</t>
  </si>
  <si>
    <t>Fruit drop (drought stress)</t>
  </si>
  <si>
    <t>Large-scale fruit drop ('संत्र्याचा सडाच पडला')</t>
  </si>
  <si>
    <t>20-25 days without rain; some areas ~50% below normal rain; rising temperature</t>
  </si>
  <si>
    <t>संत्र्याचा सडाच पडला ... 20-25 दिवसांपासून पाऊस गायब</t>
  </si>
  <si>
    <t>TV9 Marathi (10 Sep 2026)</t>
  </si>
  <si>
    <t>News (Marathi TV)</t>
  </si>
  <si>
    <t>10 Sep 2026</t>
  </si>
  <si>
    <t>https://www.tv9marathi.com/videos/nagpur-orange-crop-loss-vidarbha-droughts-impact-on-farmers-1753484.html</t>
  </si>
  <si>
    <t>Nagpur district / Vidarbha</t>
  </si>
  <si>
    <t>2026-08-15</t>
  </si>
  <si>
    <t>2026-09-10</t>
  </si>
  <si>
    <t>H05, H02, H06</t>
  </si>
  <si>
    <t>H05: Monsoon dry spell (drought) - Dry spell &gt;= 15 days within the monsoon (8 Jun - 7 Oct); &gt;= 20 days = High
H02: Fruit drop - temperature above 30 °C - Tmax &gt; 30 °C
H06: Fruit sunscald - Sep-Oct heat (Mrig crop) - Tmax &gt; 35 °C in September or October</t>
  </si>
  <si>
    <t>I12</t>
  </si>
  <si>
    <t>Biotic - disease (drought-linked)</t>
  </si>
  <si>
    <t>Colletotrichum fruit drop</t>
  </si>
  <si>
    <t>~30% of Ambia crop dropped</t>
  </si>
  <si>
    <t>Scanty rainfall June-August (NRCC scientist)</t>
  </si>
  <si>
    <t>damage of 30 per cent of the fruit crop in a couple of months ... Due to scanty rainfall in June, July and August</t>
  </si>
  <si>
    <t>FreshPlaza (8 Sep 2014), reprinting Pune Mirror</t>
  </si>
  <si>
    <t>08 Sep 2014</t>
  </si>
  <si>
    <t>https://www.freshplaza.com/north-america/article/2126648/india-nagpuri-santra-orange-farmers-feel-the-heat/</t>
  </si>
  <si>
    <t>Nagpur and Amravati districts</t>
  </si>
  <si>
    <t>Nagpur and Amravati, MH</t>
  </si>
  <si>
    <t>2014-06-01</t>
  </si>
  <si>
    <t>2014-09-08</t>
  </si>
  <si>
    <t>H05, G-D01, H02</t>
  </si>
  <si>
    <t>H05: Monsoon dry spell (drought) - Dry spell &gt;= 15 days within the monsoon (8 Jun - 7 Oct); &gt;= 20 days = High
G-D01: Alternaria Brown Spot (Alternaria alternata) - high-risk day - Rain day (&gt;= 2.5 mm) or leaf wetness &gt; 10 h, with daily mean temperature 20-28 °C
H02: Fruit drop - temperature above 30 °C - Tmax &gt; 30 °C</t>
  </si>
  <si>
    <t>I13</t>
  </si>
  <si>
    <t>Citrus psylla</t>
  </si>
  <si>
    <t>'Failed crop in February and attack of a new pest, Citrus psylla', following the 2011 monsoon (i.e. Feb 2012)</t>
  </si>
  <si>
    <t>Good monsoon in 2011 came as a brief respite. But a failed crop in February and attack of a new pest, Citrus psylla</t>
  </si>
  <si>
    <t>Down To Earth, 'Orange tumbles' (13 Apr 2012)</t>
  </si>
  <si>
    <t>13 Apr 2012</t>
  </si>
  <si>
    <t>https://www.downtoearth.org.in/coverage/orange-tumbles-37976</t>
  </si>
  <si>
    <t>Vidarbha</t>
  </si>
  <si>
    <t>2012-02-01</t>
  </si>
  <si>
    <t>2012-04-13</t>
  </si>
  <si>
    <t>P01, G-P01, T02</t>
  </si>
  <si>
    <t>P01: Citrus psylla - conducive temperature - Daily mean temperature 25-30 °C
G-P01: Asian Citrus Psylla (Diaphorina citri) - new-adult emergence window - Daily degree-days above 10.5 °C with upper cut-off 33.0 °C, accumulated from 1 January; 250.0 DD per generation; flag = the last 63.3 DD of each generation (adult pre-oviposition / new-adult emergence window)
T02: Citrus psylla peak activity - Active in: Feb, Mar. Peak activity of ACP during February and March (ICAR-NRCC, IJAgS 2013)</t>
  </si>
  <si>
    <t>I14</t>
  </si>
  <si>
    <t>Low in January; rising late Feb-March; nymph peak 19.0/twig in the paper's MW 14 (26 Mar-1 Apr 2009 = IMD SMW 13; Table 1)</t>
  </si>
  <si>
    <t>'Warm conditions with lower humidity'</t>
  </si>
  <si>
    <t>nymphs per twig) in the 14th Met week ... 26 Mar to 01 Apr 2009 8.5 19.0</t>
  </si>
  <si>
    <t>Dawane, Barkhade &amp; Wadaskar (2014) Int. J. Chem. Stud. 1(5):68-71 (PDKV)</t>
  </si>
  <si>
    <t>Journal</t>
  </si>
  <si>
    <t>2014 (Int. J. Chem. Stud. 1(5))</t>
  </si>
  <si>
    <t>https://www.chemijournal.com/archives/2014/vol1issue5/PartA/11-1-20-473.pdf</t>
  </si>
  <si>
    <t>Futala farm, College of Agriculture Nagpur</t>
  </si>
  <si>
    <t>2009-01-15</t>
  </si>
  <si>
    <t>2009-04-01</t>
  </si>
  <si>
    <t>I15</t>
  </si>
  <si>
    <t>Citrus leaf miner</t>
  </si>
  <si>
    <t>Weekly infestation 14.96% (SMW36) rising to 70.25% (SMW42), then declining</t>
  </si>
  <si>
    <t>Evaporation positive (r=+0.56); rainfall and RH negative</t>
  </si>
  <si>
    <t>peaked at 70.25% in the 42nd week</t>
  </si>
  <si>
    <t>Lavhe et al. (2024) J. Pharmacogn. Phytochem. 13(2):262-269 (PDKV)</t>
  </si>
  <si>
    <t>2024 (J. Pharmacogn. Phytochem. 13(2))</t>
  </si>
  <si>
    <t>https://www.phytojournal.com/archives/2024/vol13issue2/PartC/13-2-5-117.pdf</t>
  </si>
  <si>
    <t>College of Agriculture Nagpur (nursery)</t>
  </si>
  <si>
    <t>2019-09-06</t>
  </si>
  <si>
    <t>2019-11-18</t>
  </si>
  <si>
    <t>P02, G-P02, T04</t>
  </si>
  <si>
    <t>P02: Citrus leaf miner - multiplication favoured - Tmin &gt; 18 °C and vapour pressure &gt; 20 mm Hg
G-P02: Citrus Leaf Miner (Phyllocnistis citrella) - new-adult emergence window - Daily degree-days above 10.8 °C with upper cut-off 32.0 °C, accumulated from 1 January; 237.4 DD per generation; flag = the last 116.5 DD of each generation (adult pre-oviposition / new-adult emergence window)
T04: Citrus leaf miner high infestation - Active in: Feb, Mar, Apr, Aug, Sep, Oct. Higher infestation Aug-Oct and Feb-Apr (Alexander, Kuttalam &amp; Rao 2014, ICAR-CCRI)</t>
  </si>
  <si>
    <t>I16</t>
  </si>
  <si>
    <t>Abiotic - heat</t>
  </si>
  <si>
    <t>Fruitlet drop (heat)</t>
  </si>
  <si>
    <t>Heavy fruitlet drop, yield loss up to 40%</t>
  </si>
  <si>
    <t>Tmax &gt; 37 °C in March-April</t>
  </si>
  <si>
    <t>March-April in the years 1994, 1999, 2001, 2004 and 2008 caused heavy drop of fruitlets</t>
  </si>
  <si>
    <t>ICAR-CCRI QRT 2013-18, NICRA project, p.40</t>
  </si>
  <si>
    <t>ICAR report</t>
  </si>
  <si>
    <t>QRT report 2013-18: finalised Jul 2019; posted by ICAR Jul 2022</t>
  </si>
  <si>
    <t>https://icar.org.in/sites/default/files/2022-07/QRT-NAGPUR-01.pdf</t>
  </si>
  <si>
    <t>Nagpur region</t>
  </si>
  <si>
    <t>Nagpur region, MH</t>
  </si>
  <si>
    <t>1994-03-01</t>
  </si>
  <si>
    <t>1994-04-30</t>
  </si>
  <si>
    <t>H01, X-H01c, H02, H04, X-H04c</t>
  </si>
  <si>
    <t>H01: Fruitlet drop - supra-optimal Tmax in Mar-Apr - Tmax &gt; 37 °C in March or April
X-H01c: Fruitlet drop - Tmax &gt; 37 °C Mar-Apr on bias-corrected Tmax - As H01, on bias-corrected Tmax
H02: Fruit drop - temperature above 30 °C - Tmax &gt; 30 °C
H04: Heat wave (IMD criteria, ICAR-CRIDA 2022) - Tmax &gt;= 40 °C with departure from 1991-2020 normal &gt;= 5 °C (normal &lt;= 40) or &gt;= 4 °C (normal &gt; 40), or Tmax &gt;= 45 °C, on 2 consecutive days; severe: departure &gt;= 7 / &gt;= 6 °C
X-H04c: Heat wave (IMD criteria) on bias-corrected Tmax - As H04, on Tmax corrected to the IMD Nagpur station (quantile mapping by month)</t>
  </si>
  <si>
    <t>I17</t>
  </si>
  <si>
    <t>Same as I16</t>
  </si>
  <si>
    <t>ICAR-CCRI QRT 2013-18, p.40</t>
  </si>
  <si>
    <t>1999-03-01</t>
  </si>
  <si>
    <t>1999-04-30</t>
  </si>
  <si>
    <t>I18</t>
  </si>
  <si>
    <t>2001-03-01</t>
  </si>
  <si>
    <t>2001-04-30</t>
  </si>
  <si>
    <t>I19</t>
  </si>
  <si>
    <t>2004-03-01</t>
  </si>
  <si>
    <t>2004-04-30</t>
  </si>
  <si>
    <t>I20</t>
  </si>
  <si>
    <t>2008-03-01</t>
  </si>
  <si>
    <t>2008-04-30</t>
  </si>
  <si>
    <t>I21</t>
  </si>
  <si>
    <t>Abiotic - drought / heat</t>
  </si>
  <si>
    <t>Tree death (drought / heat)</t>
  </si>
  <si>
    <t>Orange and mosambi trees dying as monsoon delayed; district council sought compensation</t>
  </si>
  <si>
    <t>Delayed monsoon; heat</t>
  </si>
  <si>
    <t>पाऊस लांबल्यामुळे संत्रा, मोसंबीची झाडे मरत आहेत</t>
  </si>
  <si>
    <t>Agrowon (19 Jun 2019)</t>
  </si>
  <si>
    <t>19 Jun 2019</t>
  </si>
  <si>
    <t>https://agrowon.esakal.com/mukhya-batamya/agriculture-news-marathigive-orange-growers-lot-help-20492</t>
  </si>
  <si>
    <t>Katol, Kalmeshwar, Narkhed (Nagpur district)</t>
  </si>
  <si>
    <t>21.5_78.6  (21.5 N, 78.6 E)</t>
  </si>
  <si>
    <t>2019-06-19</t>
  </si>
  <si>
    <t>H05, H04, H02, X-H01, X-H04c</t>
  </si>
  <si>
    <t>H05: Monsoon dry spell (drought) - Dry spell &gt;= 15 days within the monsoon (8 Jun - 7 Oct); &gt;= 20 days = High
H04: Heat wave (IMD criteria, ICAR-CRIDA 2022) - Tmax &gt;= 40 °C with departure from 1991-2020 normal &gt;= 5 °C (normal &lt;= 40) or &gt;= 4 °C (normal &gt; 40), or Tmax &gt;= 45 °C, on 2 consecutive days; severe: departure &gt;= 7 / &gt;= 6 °C
H02: Fruit drop - temperature above 30 °C - Tmax &gt; 30 °C
X-H01: Pre-monsoon heat and dry-soil stress - April-June: no rain day for &gt;= 15 days and bias-corrected Tmax &gt;= 40 °C (Moderate) or &gt;= 45 °C (High)
X-H04c: Heat wave (IMD criteria) on bias-corrected Tmax - As H04, on Tmax corrected to the IMD Nagpur station (quantile mapping by month)</t>
  </si>
  <si>
    <t>I22</t>
  </si>
  <si>
    <t>Tree death and fruit loss (extreme heat)</t>
  </si>
  <si>
    <t>Heat 'wiped out 25 per cent of the trees in the region'; 1.76 million trees died in Nagpur/Wardha</t>
  </si>
  <si>
    <t>'above 46° C for more than a month and above 48° C for seven days'</t>
  </si>
  <si>
    <t>Temperature remained above 46° C for more than a month and above 48° C for seven days at a stretch</t>
  </si>
  <si>
    <t>Vidarbha (Nagpur, Wardha, Amravati)</t>
  </si>
  <si>
    <t>Nagpur, Wardha and Amravati, MH</t>
  </si>
  <si>
    <t>2010-04-01</t>
  </si>
  <si>
    <t>2010-06-15</t>
  </si>
  <si>
    <t>H04, X-H04c, X-H01, H01, H03</t>
  </si>
  <si>
    <t>H04: Heat wave (IMD criteria, ICAR-CRIDA 2022) - Tmax &gt;= 40 °C with departure from 1991-2020 normal &gt;= 5 °C (normal &lt;= 40) or &gt;= 4 °C (normal &gt; 40), or Tmax &gt;= 45 °C, on 2 consecutive days; severe: departure &gt;= 7 / &gt;= 6 °C
X-H04c: Heat wave (IMD criteria) on bias-corrected Tmax - As H04, on Tmax corrected to the IMD Nagpur station (quantile mapping by month)
X-H01: Pre-monsoon heat and dry-soil stress - April-June: no rain day for &gt;= 15 days and bias-corrected Tmax &gt;= 40 °C (Moderate) or &gt;= 45 °C (High)
H01: Fruitlet drop - supra-optimal Tmax in Mar-Apr - Tmax &gt; 37 °C in March or April
H03: Fruit quality loss - temperature above 33 °C - Tmax &gt; 33 °C</t>
  </si>
  <si>
    <t>I23</t>
  </si>
  <si>
    <t>Phytophthora brown rot; severe fruit drop (sweet orange)</t>
  </si>
  <si>
    <t>ICAR-CCRI team visited on 4 Sep 2020 after reports of severe fruit drop: 'All the affected Sweet orange orchards were found severely infected with Phytophthora-induced brown rot disease'; 250-300 farmers at meeting</t>
  </si>
  <si>
    <t>None given (brown-rot advisory: continuous wet weather)</t>
  </si>
  <si>
    <t>All the affected Sweet orange orchards were found ... severely infected with Phytophthora-induced brown rot</t>
  </si>
  <si>
    <t>ICAR-CCRI Newsletter July-September 2020</t>
  </si>
  <si>
    <t>ICAR-CCRI newsletter</t>
  </si>
  <si>
    <t>Jul-Sep 2020 (Citrus Newsletter 2020, No. 3)</t>
  </si>
  <si>
    <t>https://ccri.org.in/site/assets/files/2024/july-sep2020.pdf</t>
  </si>
  <si>
    <t>Katol and adjoining areas, Nagpur district</t>
  </si>
  <si>
    <t>2020-08-06</t>
  </si>
  <si>
    <t>2020-09-04</t>
  </si>
  <si>
    <t>G-D02, G-D01, T09, X-W01</t>
  </si>
  <si>
    <t>G-D02: Phytophthora brown rot - sporulation and infection day - Leaf wetness &gt;= 18 h with daily mean temperature &gt; 22 °C, July-October
G-D01: Alternaria Brown Spot (Alternaria alternata) - high-risk day - Rain day (&gt;= 2.5 mm) or leaf wetness &gt; 10 h, with daily mean temperature 20-28 °C
T09: Phytophthora brown rot - Active in: Aug, Sep, Oct (from 08-15). Late monsoon mid-August to October after continuous wet weather (ICAR-CCRI alert 2021)
X-W01: Soil waterlogging - Phytophthora root rot / gummosis risk - Root zone at field capacity with rain &gt;= crop ET for &gt;= 3 consecutive days (72 h), FAO-56 water balance for citrus on clay</t>
  </si>
  <si>
    <t>2020-07-22</t>
  </si>
  <si>
    <t>ERA5-Land 0.1°, cell 21.5_78.6, checked 2020-07-22 to 2020-09-04. G-D02: first alert 2020-08-08 (2 d after start), highest Moderate. G-D01: first alert 2020-07-22 (already active when the check window opens), highest High. X-W01: first alert 2020-07-22 (already active when the check window opens), 23.0 alert days. Calendar (not counted as alert): T09 active from 2020-08-15.</t>
  </si>
  <si>
    <t>I24</t>
  </si>
  <si>
    <t>Severe decline and fungal infection (Nagpur mandarin)</t>
  </si>
  <si>
    <t>ICAR-CCRI scientists visited 'in response to the report/problem of severe decline and incidence of fungal infection in the Nagpur mandarin orchard'</t>
  </si>
  <si>
    <t>problem of severe decline and incidence of ... fungal infection in the Nagpur mandarin orchard</t>
  </si>
  <si>
    <t>ICAR-CCRI Annual Report 2021, p.113</t>
  </si>
  <si>
    <t>ICAR-CCRI annual report</t>
  </si>
  <si>
    <t>2021 (ICAR-CCRI Annual Report 2021)</t>
  </si>
  <si>
    <t>https://ccri.org.in/site/assets/files/1315/ar2021.pdf</t>
  </si>
  <si>
    <t>Zilpa village, Katol tehsil, Nagpur district</t>
  </si>
  <si>
    <t>2021-01-08</t>
  </si>
  <si>
    <t>G-D02, X-W01, T09</t>
  </si>
  <si>
    <t>G-D02: Phytophthora brown rot - sporulation and infection day - Leaf wetness &gt;= 18 h with daily mean temperature &gt; 22 °C, July-October
X-W01: Soil waterlogging - Phytophthora root rot / gummosis risk - Root zone at field capacity with rain &gt;= crop ET for &gt;= 3 consecutive days (72 h), FAO-56 water balance for citrus on clay
T09: Phytophthora brown rot - Active in: Aug, Sep, Oct (from 08-15). Late monsoon mid-August to October after continuous wet weather (ICAR-CCRI alert 2021)</t>
  </si>
  <si>
    <t>ERA5-Land 0.1°, cell 21.5_78.6, checked 2020-12-24 to 2021-01-08. G-D02: no alert. X-W01: no alert. Calendar (not counted as alert): T09 not active.</t>
  </si>
  <si>
    <t>I25</t>
  </si>
  <si>
    <t>Abiotic / biotic (cause not stated)</t>
  </si>
  <si>
    <t>Unprecedented fruit drop of Ambia crop (sweet orange, mandarin)</t>
  </si>
  <si>
    <t>Survey of Katol tehsil on 5 Sep 2021 'for observing the sweet orange orchards for unprecedented fruit drop of Ambia crop'; field visit to Zilpa on 4 Sep 2021 on fruit drop</t>
  </si>
  <si>
    <t>None given (CCRI Oct 2021 advisory: continuous rain in preceding months)</t>
  </si>
  <si>
    <t>for observing the sweet orange orchards for ... unprecedented fruit drop of Ambia crop</t>
  </si>
  <si>
    <t>Katol (Dhalwalpur, Paradsinga, Jamgaon, Naigaon, Khapri, Pardi) and Narkhed (Umtha)</t>
  </si>
  <si>
    <t>2021-08-06</t>
  </si>
  <si>
    <t>2021-09-05</t>
  </si>
  <si>
    <t>G-D02, H06, T09, X-W01</t>
  </si>
  <si>
    <t>G-D02: Phytophthora brown rot - sporulation and infection day - Leaf wetness &gt;= 18 h with daily mean temperature &gt; 22 °C, July-October
H06: Fruit sunscald - Sep-Oct heat (Mrig crop) - Tmax &gt; 35 °C in September or October
T09: Phytophthora brown rot - Active in: Aug, Sep, Oct (from 08-15). Late monsoon mid-August to October after continuous wet weather (ICAR-CCRI alert 2021)
X-W01: Soil waterlogging - Phytophthora root rot / gummosis risk - Root zone at field capacity with rain &gt;= crop ET for &gt;= 3 consecutive days (72 h), FAO-56 water balance for citrus on clay</t>
  </si>
  <si>
    <t>I26</t>
  </si>
  <si>
    <t>Abiotic - hailstorm</t>
  </si>
  <si>
    <t>Hailstorm damage; mandarin fruit drop</t>
  </si>
  <si>
    <t>ICAR-CCRI scientists 'visited the hailstorm affected citrus orchards of Nagpur and Amravati Districts on 13 February, 2018'; photo caption 'Fruits of Nagpur mandarin dropped due to hailstorm at Amravati district'; feedback note on hail damage in Chhindwara (MP)</t>
  </si>
  <si>
    <t>Hailstorm and unseasonal rain</t>
  </si>
  <si>
    <t>visited the hailstorm affected citrus orchards ... of Nagpur and Amravati Districts on 13 ... Fruits of Nagpur mandarin dropped due to hailstorm at</t>
  </si>
  <si>
    <t>ICAR-CCRI Citrus Newsletter Jan-Mar 2018</t>
  </si>
  <si>
    <t>Jan-Mar 2018 (Citrus Newsletter Vol. 24 No. 1)</t>
  </si>
  <si>
    <t>https://ccri.org.in/site/assets/files/2020/news12018.pdf</t>
  </si>
  <si>
    <t>Nagpur and Amravati districts (hail-affected mandarin orchards)</t>
  </si>
  <si>
    <t>21.5_78.4  (21.5 N, 78.4 E)</t>
  </si>
  <si>
    <t>2018-02-07</t>
  </si>
  <si>
    <t>2018-02-13</t>
  </si>
  <si>
    <t>I27</t>
  </si>
  <si>
    <t>Fruit drop (cause not stated)</t>
  </si>
  <si>
    <t>ICAR-CCRI staff with the Superintendent Agriculture Officer 'visited citrus orchards at Warud, Distt. Amravati on 6 August, 2019 to provide control measures for fruit drop of citrus'</t>
  </si>
  <si>
    <t>orchards at Warud,Distt.Amravati on 6 ... to provide control measures for fruit drop of citrus</t>
  </si>
  <si>
    <t>ICAR-CCRI Citrus Newsletter 2019 (issue 3), p.6</t>
  </si>
  <si>
    <t>Jul-Sep 2019 (Citrus Newsletter Vol. 25 No. 3)</t>
  </si>
  <si>
    <t>https://ccri.org.in/site/assets/files/2016/news32019.pdf</t>
  </si>
  <si>
    <t>Warud, Amravati district (borders Pandhurna)</t>
  </si>
  <si>
    <t>Amravati, MH</t>
  </si>
  <si>
    <t>2019-08-06</t>
  </si>
  <si>
    <t>G-D02, G-D01, T09, X-W01, X-B01</t>
  </si>
  <si>
    <t>G-D02: Phytophthora brown rot - sporulation and infection day - Leaf wetness &gt;= 18 h with daily mean temperature &gt; 22 °C, July-October
G-D01: Alternaria Brown Spot (Alternaria alternata) - high-risk day - Rain day (&gt;= 2.5 mm) or leaf wetness &gt; 10 h, with daily mean temperature 20-28 °C
T09: Phytophthora brown rot - Active in: Aug, Sep, Oct (from 08-15). Late monsoon mid-August to October after continuous wet weather (ICAR-CCRI alert 2021)
X-W01: Soil waterlogging - Phytophthora root rot / gummosis risk - Root zone at field capacity with rain &gt;= crop ET for &gt;= 3 consecutive days (72 h), FAO-56 water balance for citrus on clay
X-B01: Brown-rot early-onset watch - Active in: Jul, Aug (from 07-01). Brown rot can start in early July: ICAR-CCRI Disease Occurrence Alert of 5 July 2021 ('incidence of Phytophthora brown rot disease has started appearing' in Katol and Narkhed), ahead of the usual mid-August onset (T09); Timmer et al. 2000: epidemics from July to October.</t>
  </si>
  <si>
    <t>I28</t>
  </si>
  <si>
    <t>Biotic - disease (same season as I23)</t>
  </si>
  <si>
    <t>Fruit drop of sweet orange (same season as the Katol brown-rot outbreak, I23)</t>
  </si>
  <si>
    <t>ICAR-CCRI tour 'to Jarud, Warud, Bargoan and Gadegoan area of Amravati district to assess fruit drop problems of Sweet orange on 5th September, 2020'</t>
  </si>
  <si>
    <t>None given (Katol visit of 4 Sep 2020: Phytophthora-induced brown rot)</t>
  </si>
  <si>
    <t>Jarud, Warud, Bargoan and Gadegoan area of Amravati district to assess fruit drop problems of Sweet orange on 5th September, 2020</t>
  </si>
  <si>
    <t>ICAR-CCRI Citrus Newsletter Jul-Sep 2020, p.7</t>
  </si>
  <si>
    <t>Jarud, Warud, Bargaon and Gadegaon, Amravati district (borders Pandhurna)</t>
  </si>
  <si>
    <t>2020-09-05</t>
  </si>
  <si>
    <t>ERA5-Land 0.1°, cell 21.5_78.4, checked 2020-07-22 to 2020-09-05. G-D02: first alert 2020-08-08 (2 d after start), highest Moderate. G-D01: first alert 2020-07-22 (already active when the check window opens), highest High. X-W01: first alert 2020-07-22 (already active when the check window opens), 23.0 alert days. Calendar (not counted as alert): T09 active from 2020-08-15.</t>
  </si>
  <si>
    <t>I29</t>
  </si>
  <si>
    <t>Hailstorm; up to 20% of near-ripe oranges knocked down, hail scars</t>
  </si>
  <si>
    <t>Rain, storm and large hail on Thursday evening at Buchankhapa; up to 20% of the orange crop fell; fruit near ripening, hail marks lower the market price</t>
  </si>
  <si>
    <t>Strong wind, rain, large hailstones</t>
  </si>
  <si>
    <t>गुरुवार शाम को बुचनखापा में तेज हवा के साथ बारिश और बड़े आकार के ओले गिरे</t>
  </si>
  <si>
    <t>ETV Bharat Hindi, 20 Mar 2026</t>
  </si>
  <si>
    <t>News (copy from search index; page not reachable from this network)</t>
  </si>
  <si>
    <t>20 Mar 2026</t>
  </si>
  <si>
    <t>https://www.etvbharat.com/hi/state/unseasonal-rain-and-hailstorms-in-mp-dashed-farmers-crops-chhindwara-pandhurna-farmers-in-pain-madhya-pradesh-news-mps26032000471</t>
  </si>
  <si>
    <t>Buchankhapa, Pandhurna district</t>
  </si>
  <si>
    <t>2026-03-16</t>
  </si>
  <si>
    <t>2026-03-22</t>
  </si>
  <si>
    <t>I30</t>
  </si>
  <si>
    <t>Severe hailstorm; young Ambia fruit knocked down, hail scars, broken branches</t>
  </si>
  <si>
    <t>Severe hail with strong wind and heavy rain; small unripe oranges fell 'like a sheet' under the trees, the remaining fruit deeply scarred, branches broken</t>
  </si>
  <si>
    <t>Strong wind, torrential rain, hail</t>
  </si>
  <si>
    <t>अमरावती जिले की मोर्शी तहसील में शुक्रवार 12 जून की शाम 4 बजे ... ओलावृष्टि इतनी भीषण थी कि पेड़ों पर लगे छोटे और कच्चे संतरे भारी मात्रा में टूटकर जमीन पर आ गिरे</t>
  </si>
  <si>
    <t>Navbharat Live, 12 Jun 2026</t>
  </si>
  <si>
    <t>12 Jun 2026</t>
  </si>
  <si>
    <t>https://navbharatlive.com/maharashtra/amravati/severe-hailstorm-in-morshi-causes-heavy-damage-to-orange-orchards-farmers-in-distress-demand-for-compensation-1793659.html</t>
  </si>
  <si>
    <t>Hiwarkhed circle, Morshi tehsil, Amravati district (Dapori, Dongar Yawli, Ghoddev, Salberdi, Pala, Maywadi, Bhaipur)</t>
  </si>
  <si>
    <t>Adjacent (~40 km, west of the grid)</t>
  </si>
  <si>
    <t>2026-06-09</t>
  </si>
  <si>
    <t>2026-06-15</t>
  </si>
  <si>
    <t>X-S01, D02</t>
  </si>
  <si>
    <t>X-S01: Unseasonal thunderstorm / hail damage risk - Outside the monsoon (8 Oct - 7 Jun): daily peak wind gust &gt;= 30 km/h with a rain day &gt;= 2.5 mm (Moderate) or &gt;= 40 km/h with a rain day (High); gust &gt;= 30 km/h with any measurable rain &gt;= 0.1 mm = Low (watch)
D02: Citrus canker - wind-driven rain - At least one hour with rain (&gt;= 0.1 mm) and wind &gt; 8 m/s</t>
  </si>
  <si>
    <t>N01</t>
  </si>
  <si>
    <t>Abiotic - storm and heavy rain</t>
  </si>
  <si>
    <t>Storm and heavy rain on near-ripe fruit (crop destroyed)</t>
  </si>
  <si>
    <t>'On March 17, 2024 ... a sudden storm and heavy rain devastated his crop' ... 'the rain poured for over two hours, destroying everything'; 'the orange crop in Pandhurna and Saunsar was badly affected by the weather, first in March and then again in April'</t>
  </si>
  <si>
    <t>Sudden storm, heavy rain &gt; 2 h</t>
  </si>
  <si>
    <t>On March 17, 2024, Chatakwar’s 3-acre orange orchard crop was nearly ripe ... a sudden storm and heavy rain devastated his crop</t>
  </si>
  <si>
    <t>24 Feb 2025 (Ground Report); corroborated by Patrika, 23 Mar 2024</t>
  </si>
  <si>
    <t>Pandhurna district (farmer Chatakwar's orchard)</t>
  </si>
  <si>
    <t>2024-03-14</t>
  </si>
  <si>
    <t>2024-03-20</t>
  </si>
  <si>
    <t>D02, D01, X-S01</t>
  </si>
  <si>
    <t>D02: Citrus canker - wind-driven rain - At least one hour with rain (&gt;= 0.1 mm) and wind &gt; 8 m/s
D01: Citrus canker - conducive weather - Tmin &gt;= 24 °C, Tmax &lt;= 37 °C, RH &gt;= 76 %, wind &gt;= 6.4 km/h (same day)
X-S01: Unseasonal thunderstorm / hail damage risk - Outside the monsoon (8 Oct - 7 Jun): daily peak wind gust &gt;= 30 km/h with a rain day &gt;= 2.5 mm (Moderate) or &gt;= 40 km/h with a rain day (High); gust &gt;= 30 km/h with any measurable rain &gt;= 0.1 mm = Low (watch)</t>
  </si>
  <si>
    <t xml:space="preserve">Compiled thresholds </t>
  </si>
  <si>
    <t>ID</t>
  </si>
  <si>
    <t>Rule set</t>
  </si>
  <si>
    <t>Name</t>
  </si>
  <si>
    <t>Condition (exactly as used)</t>
  </si>
  <si>
    <t>Alert levels</t>
  </si>
  <si>
    <t>Quotation from the source</t>
  </si>
  <si>
    <t>Evidence grade</t>
  </si>
  <si>
    <t>Notes / caveats</t>
  </si>
  <si>
    <t>P01</t>
  </si>
  <si>
    <t>ICAR rule</t>
  </si>
  <si>
    <t>Citrus psylla - conducive temperature</t>
  </si>
  <si>
    <t>Daily mean temperature 25-30 °C</t>
  </si>
  <si>
    <t>7-day index = days of the last 7 meeting the condition: High &gt;= 5, Moderate &gt;= 3, Low &gt;= 1</t>
  </si>
  <si>
    <t>Rao C.N. &amp; Shivankar V.J. (2011) Relative efficacy of certain bio-rational insecticides to citrus psylla. Indian Journal of Agricultural Sciences 81(7):673-676. National Research Centre for Citrus (now ICAR-CCRI), Nagpur, p. 1</t>
  </si>
  <si>
    <t>It is active during spring and in dry spells during monsoon (Shivankar et al. 2001). High humidity associated with dry spells and moderate temperatures (25–30°C) are congenial for its rapid development.</t>
  </si>
  <si>
    <t>B</t>
  </si>
  <si>
    <t>Source gives 25-30 °C without the statistic; daily MEAN used, consistent with the constant-temperature laboratory studies behind such ranges (Liu &amp; Tsai 2000: optimum 25-28 °C; development fails at 33 °C). The band is an optimum, not an upper limit: oviposition continues to 41.6 °C and peaks at 29.6 °C (Hall et al. 2011), so the rule switches off while psylla can still build up. Its 'high humidity' and 'dry spells' qualifiers have no numbers and are not applied.</t>
  </si>
  <si>
    <t>P02</t>
  </si>
  <si>
    <t>Citrus leaf miner - multiplication favoured</t>
  </si>
  <si>
    <t>Tmin &gt; 18 °C and vapour pressure &gt; 20 mm Hg</t>
  </si>
  <si>
    <t>Patel N.C., Valand V.M., Shekh A.M. &amp; Patel J.R. (1994) Effect of weather factors on activity of citrus leaf-miner infesting lime. Indian Journal of Agricultural Sciences 64. Abstract, p. abstract</t>
  </si>
  <si>
    <t>The minimum temperature more than 18°C, vapour pressure more than 20 mm Hg and sunshine less than 6 hr favoured the multiplication of leaf-miner.</t>
  </si>
  <si>
    <t>C</t>
  </si>
  <si>
    <t>Sunshine &lt; 6 h cannot be computed from ERA5-Land and is omitted (2 of 3 conditions).</t>
  </si>
  <si>
    <t>D01</t>
  </si>
  <si>
    <t>Citrus canker - conducive weather</t>
  </si>
  <si>
    <t>Tmin &gt;= 24 °C, Tmax &lt;= 37 °C, RH &gt;= 76 %, wind &gt;= 6.4 km/h (same day)</t>
  </si>
  <si>
    <t>Mahawer A.K., Sharma R.M., Dubey A.K., Awasthi O.P., Singh D., Dahuja A., Mitra S.V.A.C.R. &amp; Kumar A. (2023) Effect of weather parameters and citrus genotypes on the occurrence of citrus canker. Indian Phytopathology. doi:10.1007/s42360-023-00606-z. ICAR-IARI New Delhi, p. abstract</t>
  </si>
  <si>
    <t>Results showed that the values of different weather parameters such as minimum temperature (24 °C), maximum temperature (37 °C), relative humidity (76%), and wind speed (6.4 km/h), conditions were conducive for disease development.</t>
  </si>
  <si>
    <t>Source gives single values without direction; &gt;= for Tmin/RH/wind and &lt;= for Tmax used; RH and wind taken as daily means. Study crop was acid lime/lemon (New Delhi).</t>
  </si>
  <si>
    <t>D02</t>
  </si>
  <si>
    <t>Citrus canker - wind-driven rain</t>
  </si>
  <si>
    <t>At least one hour with rain (&gt;= 0.1 mm) and wind &gt; 8 m/s</t>
  </si>
  <si>
    <t>Das A.K. (2003) Citrus canker - A review. Journal of Applied Horticulture 5(1):52-60. National Research Centre for Citrus, Nagpur, p. 5</t>
  </si>
  <si>
    <t>If the average wind speed during rains exceeds 8 m/sec (18 mph), the disease may be very severe (Kuhara, 1978).</t>
  </si>
  <si>
    <t>'During rains' taken as hours with &gt;= 0.1 mm rain (IMD trace limit, Forecasting SOP s.1.7).</t>
  </si>
  <si>
    <t>H01</t>
  </si>
  <si>
    <t>Fruitlet drop - supra-optimal Tmax in Mar-Apr</t>
  </si>
  <si>
    <t>Tmax &gt; 37 °C in March or April</t>
  </si>
  <si>
    <t>ICAR-CCRI QRT Report 2013-18 (NICRA project 'Climate resilience based production management of Nagpur mandarin'), p.40, p. 40</t>
  </si>
  <si>
    <t>Supra-optimal maximum temperatures (&gt; 37 0C) in the months of March-April in the years 1994, 1999, 2001, 2004 and 2008 caused heavy drop of fruitlets resulting in yield losses upto 40 per cent.</t>
  </si>
  <si>
    <t>A</t>
  </si>
  <si>
    <t>H02</t>
  </si>
  <si>
    <t>Fruit drop - temperature above 30 °C</t>
  </si>
  <si>
    <t>Tmax &gt; 30 °C</t>
  </si>
  <si>
    <t>ICAR-CRIDA (2022) Heat Wave 2022: Causes, impacts and way forward for Indian Agriculture. Technical bulletin, ICAR-CRIDA/NICRA, p.7 (citing Srinivasarao et al. 2016; Hutton &amp; Landsberg 2000), p. 7</t>
  </si>
  <si>
    <t>Optimum temperature range in citrus is 22–27 °C, and temperatures greater than 30 °C increased fruit drop.</t>
  </si>
  <si>
    <t>Statistic not stated by source; daily MAXIMUM used.</t>
  </si>
  <si>
    <t>H03</t>
  </si>
  <si>
    <t>Fruit quality loss - temperature above 33 °C</t>
  </si>
  <si>
    <t>Tmax &gt; 33 °C</t>
  </si>
  <si>
    <t>ICAR-CRIDA (2022) Heat Wave 2022 bulletin, p.7, p. 7</t>
  </si>
  <si>
    <t>During fruit development when the temperatures exceed the optimum range of 13–27 °C with temperatures over 33 °C, there is a reduction in sugar content, acid content and fruit size in citrus (Hutton and Landsberg, 2000).</t>
  </si>
  <si>
    <t>Statistic not stated; daily MAXIMUM used. Source restricts it to fruit development, which it does not date - read against the bahar calendar.</t>
  </si>
  <si>
    <t>H06</t>
  </si>
  <si>
    <t>Fruit sunscald - Sep-Oct heat (Mrig crop)</t>
  </si>
  <si>
    <t>Tmax &gt; 35 °C in September or October</t>
  </si>
  <si>
    <t>ICAR-CCRI Annual Report 2021, section on Mrig bahar management at Hetikundi village (OCR of scanned report), p. ~p.89 (OCR)</t>
  </si>
  <si>
    <t>kaolin and calcium sulphate are sprayed in the month of September and October (dry spell when temperature rise above 35°c) to control the loss due to sunscald of fruits</t>
  </si>
  <si>
    <t>Statistic not stated; daily MAXIMUM used. The 'dry spell' qualifier has no number and is not applied.</t>
  </si>
  <si>
    <t>H04</t>
  </si>
  <si>
    <t>Heat wave (IMD criteria, ICAR-CRIDA 2022)</t>
  </si>
  <si>
    <t>Tmax &gt;= 40 °C with departure from 1991-2020 normal &gt;= 5 °C (normal &lt;= 40) or &gt;= 4 °C (normal &gt; 40), or Tmax &gt;= 45 °C, on 2 consecutive days; severe: departure &gt;= 7 / &gt;= 6 °C</t>
  </si>
  <si>
    <t>Event rule: levels as stated in the condition / interpretation</t>
  </si>
  <si>
    <t>ICAR-CRIDA (2022) Heat Wave 2022 bulletin, section 2.2 (IMD criteria as published by ICAR), p. 4</t>
  </si>
  <si>
    <t>Heat wave need not be considered till maximum temperature of a station reaches at least 40oC for Plains ... When normal maximum temperature of a station is less than or equal to 40 oC Heat wave: Departure from normal is 5 oC to 6 oC Severe heat wave: Departure from normal is 7 oC or more ... When normal maximum temperature of a station is more than 40oC Heat wave: Departure from normal is 4 oC to 5 oC Severe heat wave: Departure from normal is 6 oC or more ... When actual maximum temperature remains 45 oC or more irrespective of normal maximum temperature, heat waves should be declared. ... criteria should be met at least in 2 stations ... for at least two consecutive days</t>
  </si>
  <si>
    <t>Applied per grid cell (the IMD 2-station rule cannot apply to a grid). Normal = 1991-2020 ERA5-Land mean Tmax for the calendar day.</t>
  </si>
  <si>
    <t>H05</t>
  </si>
  <si>
    <t>Monsoon dry spell (drought)</t>
  </si>
  <si>
    <t>Dry spell &gt;= 15 days within the monsoon (8 Jun - 7 Oct); &gt;= 20 days = High</t>
  </si>
  <si>
    <t>ICAR-CRIDA (2013) Agriculture Contingency Plan for District Chhindwara, Madhya Pradesh, section 2.1 (Drought), p. 16</t>
  </si>
  <si>
    <t>Normal onset followed by 15-20 days dry spell after sowing leading to poor germination/crop stand etc.</t>
  </si>
  <si>
    <t>A 'dry' day = rainfall &lt; 2.5 mm (IMD rain-day definition; the plan does not define it). Monsoon window from the same plan: onset 2nd week June, withdrawal 1st week October.</t>
  </si>
  <si>
    <t>G-D01</t>
  </si>
  <si>
    <t>International literature (infection model)</t>
  </si>
  <si>
    <t>Alternaria Brown Spot (Alternaria alternata) - high-risk day</t>
  </si>
  <si>
    <t>Rain day (&gt;= 2.5 mm) or leaf wetness &gt; 10 h, with daily mean temperature 20-28 °C</t>
  </si>
  <si>
    <t>Timmer et al. (2000) Plant Dis. 84:638-643 (ALTER-RATER): days classed by rain vs no rain, &lt; or &gt; 10 h leaf wetness and &lt; 20, 20-28, &gt; 28 °C; severity nearly doubled on rain days, 'considerable infection occurred on days with &gt;10 h leaf wetness duration and no rain', and 'Infection was greatest on days with temperatures of 20 to 28°C'. Canihos et al. (1999) Plant Dis. 83:429-433: infection greatest at 27 °C, low at 4-8 h wetness</t>
  </si>
  <si>
    <t>Uses the highest-risk ALTER-RATER classes as a daily flag instead of its cumulative points (the point table is in the paywalled full text). Rain day uses the IMD 2.5 mm definition.</t>
  </si>
  <si>
    <t>G-D02</t>
  </si>
  <si>
    <t>Phytophthora brown rot - sporulation and infection day</t>
  </si>
  <si>
    <t>Leaf wetness &gt;= 18 h with daily mean temperature &gt; 22 °C, July-October</t>
  </si>
  <si>
    <t>Timmer, Zitko, Gottwald &amp; Graham (2000) Plant Dis. 84:157-163 (P. palmivora, P. nicotianae): 'A few sporangia were produced with 18 h of fruit wetness, and numbers increased as duration of wetness increased up to 72 h'; 'No brown rot developed at 22°C or less'; epidemics 'from July to October during the rainy season'. ICAR-CCRI (2021) brown-rot alert: 'continuous wet weather', first incidence reported 5 July 2021</t>
  </si>
  <si>
    <t>18 h is the minimum wetness for sporangium production; infection itself needs only 3 h, so the rule marks days when inoculum can build up. Fruit wetness is approximated by the leaf-wetness proxy.</t>
  </si>
  <si>
    <t>G-D03</t>
  </si>
  <si>
    <t>Citrus Scab (Elsinoe fawcettii) - infection day on new flush</t>
  </si>
  <si>
    <t>Leaf wetness &gt;= 3 h with daily mean temperature 14-25 °C, in the flush seasons Feb-Apr, Jun-Aug, Oct-Nov</t>
  </si>
  <si>
    <t>Whiteside (1975) Phytopathology 65:1170-1177: 'a minimum wetting period of 2.5 to 3.5 hours to cause infection'; EPPO datasheet Elsinoe fawcettii: 'infection does not take place below 14°C or above 25°C (Whiteside, 1975)'. Flush seasons: Alexander, Kuttalam &amp; Rao (2014, ICAR-NRCC) Entomon 39:67-76, 'spring flush from Feb-April, summer flush from June to August and winter flush from October to November'</t>
  </si>
  <si>
    <t>Hourly data: the 2.5-3.5 h range is applied as &gt;= 3 h. Temperature is the daily mean, not the mean during the wet period.</t>
  </si>
  <si>
    <t>G-P01</t>
  </si>
  <si>
    <t>International literature (degree-day model)</t>
  </si>
  <si>
    <t>Asian Citrus Psylla (Diaphorina citri) - new-adult emergence window</t>
  </si>
  <si>
    <t>Daily degree-days above 10.5 °C with upper cut-off 33.0 °C, accumulated from 1 January; 250.0 DD per generation; flag = the last 63.3 DD of each generation (adult pre-oviposition / new-adult emergence window)</t>
  </si>
  <si>
    <t>Liu &amp; Tsai (2000) Ann. Appl. Biol. 137:201-206, Table 3: 250 DD egg-to-adult above 10.5 °C; 5th instar 63.3 DD; 'The populations reared at 10°C and 33°C failed to develop'</t>
  </si>
  <si>
    <t>Laboratory constant temperatures (Florida colony, orange jessamine). The 5th-instar DD is estimated above its own threshold (10.9 °C), within 0.4 °C of the whole-life threshold used here.</t>
  </si>
  <si>
    <t>G-P02</t>
  </si>
  <si>
    <t>Citrus Leaf Miner (Phyllocnistis citrella) - new-adult emergence window</t>
  </si>
  <si>
    <t>Daily degree-days above 10.8 °C with upper cut-off 32.0 °C, accumulated from 1 January; 237.4 DD per generation; flag = the last 116.5 DD of each generation (adult pre-oviposition / new-adult emergence window)</t>
  </si>
  <si>
    <t>Chagas &amp; Parra (2000) An. Soc. Entomol. Brasil 29(2):227-235, Table 1 (egg, larva and pupa durations at 18-32 °C on Citrus limonia). Linear regression of 1/(egg-to-adult days) on temperature gives 10.8 °C and 237.4 DD (R2 = 0.994); the pupa is 49% of development at 25 °C (8.1 of 16.5 d), i.e. 116.5 DD</t>
  </si>
  <si>
    <t>Threshold and DD are computed here from the published Table 1 by the standard linear method (the paper reports durations, not the regression). 32 °C is the highest temperature tested; development was still accelerating, so it is used as the cut-off to avoid extrapolation.</t>
  </si>
  <si>
    <t>G-P03</t>
  </si>
  <si>
    <t>Citrus Mealybug (Planococcus citri) - new-adult emergence window</t>
  </si>
  <si>
    <t>Daily degree-days above 8.5 °C with upper cut-off 27.5 °C, accumulated from 1 January; 666.67 DD per generation; flag = the last 182.3 DD of each generation (adult pre-oviposition / new-adult emergence window)</t>
  </si>
  <si>
    <t>Karacaoglu &amp; Satar (2017) Turk. J. Entomol. 41(2):147-157 (grapefruit leaves): female threshold 8.5 °C and thermal constant 666.67 DD; 'optimum development temperature ... 25/30°C' (mean 27.5 °C, used as the cut-off); no development at 35 °C; third nymph 7.0 of 25.6 d at 25 °C (27%), i.e. 182.3 DD</t>
  </si>
  <si>
    <t>Female development (the reproductive sex). Development at 30 °C was slower than at 25 °C, so the cut-off is set at the reported optimum rather than the highest temperature with development.</t>
  </si>
  <si>
    <t>G-P04</t>
  </si>
  <si>
    <t>California Red Scale (Aonidiella aurantii) - crawler-peak week</t>
  </si>
  <si>
    <t>Daily degree-days above 11.7 °C with upper cut-off 37.8 °C, accumulated from 1 January; 611.1 DD per generation; flag = the last 308.3 DD of each generation (crawler-peak week)</t>
  </si>
  <si>
    <t>UC IPM Pest Management Guidelines, Citrus - California red scale: male flights every 1,100 °F-DD (611.1 °C-DD) above 53 °F (11.7 °C); crawler stage 'peaks about 555 degree-days (accumulated above a 53°F threshold)' after the flight peak (308.3 °C-DD). Upper threshold 37.8 °C: UC IPM Phenology Model Database, California red scale, Model 3 = Grout et al. (1989) J. Econ. Entomol. 82:793-798: 'Lower developmental threshold: 53.0°F (11.7°C) Upper developmental threshold: 100.0°F (37.8°C)'. Copies: sources/international/ucipm_*.txt (saved 28 Sep 2026)</t>
  </si>
  <si>
    <t>UC IPM starts the count at the first male-flight catch; no trap data exist for Pandhurna, so the 1 January reset is used. UC IPM gives the crawler peak, not its duration: the flag spans the peak week.</t>
  </si>
  <si>
    <t>G-P05</t>
  </si>
  <si>
    <t>Oriental Fruit Fly (Bactrocera dorsalis) - adult pre-oviposition window</t>
  </si>
  <si>
    <t>Daily degree-days above 10.6 °C with upper cut-off 33.0 °C, accumulated from 1 January; 437.4 DD per generation; flag = the last 79.2 DD of each generation (adult pre-oviposition / new-adult emergence window)</t>
  </si>
  <si>
    <t>Choi et al. (2020) PLOS ONE 15:e0235910: total pre-oviposition period (egg to first oviposition) 10.6 °C and 437.4 DD; adult pre-oviposition period 79.2 DD. Upper limit: Dongmo et al. (2021) J. Therm. Biol. 97:102877, 'completed its development at temperatures ranging between 15 and 33 °C', none at 35 °C</t>
  </si>
  <si>
    <t>The window is the pre-oviposition period of newly emerged adults (bait-spray timing). APOP DD is estimated above its own threshold (14.3 °C).</t>
  </si>
  <si>
    <t>X-S01</t>
  </si>
  <si>
    <t>Next-step rule</t>
  </si>
  <si>
    <t>Unseasonal thunderstorm / hail damage risk</t>
  </si>
  <si>
    <t>Outside the monsoon (8 Oct - 7 Jun): daily peak wind gust &gt;= 30 km/h with a rain day &gt;= 2.5 mm (Moderate) or &gt;= 40 km/h with a rain day (High); gust &gt;= 30 km/h with any measurable rain &gt;= 0.1 mm = Low (watch)</t>
  </si>
  <si>
    <t>Event rule: levels as stated in the condition</t>
  </si>
  <si>
    <t>IMD SOP for Weather Forecasting and Warning: warning categories 'Thunderstorm with Gusty Winds (upto 30-40 kmph)', '(upto 40-50 kmph)' and 'Squally Winds (50-60 kmph and more)'; impact: with hailstorm 'The fruit, vegetable and field crops at maturity stages are more prone to damage'. ICAR-CCRI Advisory for Hailstorm Damage and Unseasonal Rainfall in Citrus Orchards (21 Mar 2023). Gust: ERA5 10 m wind gust.</t>
  </si>
  <si>
    <t>ERA5 gusts are parameterised at 0.25° and under-state short convective gusts; hail itself is not observed. Back-test (28 Sep 2026, 5 dated hail/storm reports): only the Feb 2018 storm reached Moderate; the Mar 2023, Mar 2024 and Mar 2026 storms reached only Low (watch) - ERA5 gusts were &gt;= 30 km/h on those days but the convective rain was smoothed below 2.5 mm - and the 11-12 Jun 2026 Morshi hail fell after the fixed 8 June season end. The Low level fires in about half of years in the same March week, so storm warnings must come from IMD district nowcasts / Nagpur Doppler radar; X-S01 is a watch only.</t>
  </si>
  <si>
    <t>X-W01</t>
  </si>
  <si>
    <t>Soil waterlogging - Phytophthora root rot / gummosis risk</t>
  </si>
  <si>
    <t>Root zone at field capacity with rain &gt;= crop ET for &gt;= 3 consecutive days (72 h), FAO-56 water balance for citrus on clay</t>
  </si>
  <si>
    <t>UF/IFAS (Central Florida Ag News, 9 Nov 2022): 'standing water that has remained for longer than 72 hours can cause acute root damage that makes citrus trees much more susceptible to phytophthora infection'. Water balance: FAO-56 (Allen et al. 1998) Eqs. 52, 82, 85, 88; Tables 12, 19, 22.</t>
  </si>
  <si>
    <t>Soil saturation is modelled from rain and temperature, not measured; drainage and irrigation of the individual orchard are not represented.</t>
  </si>
  <si>
    <t>X-H01</t>
  </si>
  <si>
    <t>Pre-monsoon heat and dry-soil stress</t>
  </si>
  <si>
    <t>April-June: no rain day for &gt;= 15 days and bias-corrected Tmax &gt;= 40 °C (Moderate) or &gt;= 45 °C (High)</t>
  </si>
  <si>
    <t>IMD glossary / ICAR-CRIDA Heat Wave 2022: heat is considered from Tmax &gt;= 40 °C in the plains and Tmax &gt;= 45 °C is a heat wave regardless of normal; ICAR-CRIDA Chhindwara plan: '15-20 days dry spell'; ICAR-CCRI advisory for April-May: rising temperature causes fruit drop, water stress aggravates mites.</t>
  </si>
  <si>
    <t>Orchard irrigation is not represented; the rule marks when unirrigated or under-irrigated trees are at risk.</t>
  </si>
  <si>
    <t>X-H04c</t>
  </si>
  <si>
    <t>Heat wave (IMD criteria) on bias-corrected Tmax</t>
  </si>
  <si>
    <t>As H04, on Tmax corrected to the IMD Nagpur station (quantile mapping by month)</t>
  </si>
  <si>
    <t>As H04 (IMD criteria via ICAR-CRIDA 2022); correction: pdws.biascorr (Gudmundsson et al. 2012).</t>
  </si>
  <si>
    <t>The correction is fitted to the IMD Nagpur station and verified there on independent years (bias -1.44 to +0.13 °C). Against the independent IMD 1° grid at Pandhurna (1991-2025: bias -0.84 to +0.58 °C) it over-corrects by about 0.6 °C (the airport station runs warmer than rural Pandhurna), so bias-corrected heat alerts are upper-bound until a Pandhurna station record is available.</t>
  </si>
  <si>
    <t>X-H01c</t>
  </si>
  <si>
    <t>Fruitlet drop - Tmax &gt; 37 °C Mar-Apr on bias-corrected Tmax</t>
  </si>
  <si>
    <t>As H01, on bias-corrected Tmax</t>
  </si>
  <si>
    <t>As H01 (ICAR-CCRI QRT 2013-18, T15); correction: pdws.biascorr.</t>
  </si>
  <si>
    <t>Bias correction over-corrects by about 0.6 °C at Pandhurna (see X-H04c); treat as upper bound.</t>
  </si>
  <si>
    <t>T02</t>
  </si>
  <si>
    <t>Season advisory (calendar)</t>
  </si>
  <si>
    <t>Citrus psylla peak activity</t>
  </si>
  <si>
    <t>Active in: Feb, Mar. Peak activity of ACP during February and March (ICAR-NRCC, IJAgS 2013)</t>
  </si>
  <si>
    <t>Active / not active</t>
  </si>
  <si>
    <t>Rao C.N., Shivankar V.J., Deole S. &amp; Dhengre V.N. (2013) Indian Journal of Agricultural Sciences 83(10):1022-1026. NRCC Nagpur, p. 2</t>
  </si>
  <si>
    <t>Increase in ACP population ... due to more availability of new flush coinciding with peak activity of ACP during February and March months.</t>
  </si>
  <si>
    <t>T04</t>
  </si>
  <si>
    <t>Citrus leaf miner high infestation</t>
  </si>
  <si>
    <t>Active in: Feb, Mar, Apr, Aug, Sep, Oct. Higher infestation Aug-Oct and Feb-Apr (Alexander, Kuttalam &amp; Rao 2014, ICAR-CCRI)</t>
  </si>
  <si>
    <t>Alexander A., Kuttalam S. &amp; Rao C.N. (2014) Effect of weather parameters on incidence of citrus leaf miner ... Entomon 39(2):67-76. ICAR-CCRI co-author, p. p.67 (abstract)</t>
  </si>
  <si>
    <t>... higher levels of infestation were observed during August-October and February-April</t>
  </si>
  <si>
    <t>T10</t>
  </si>
  <si>
    <t>Fruit fly (Ambia fruit ripening)</t>
  </si>
  <si>
    <t>Active in: Sep, Oct, Nov. Active September-November; ETL 10% dropped fruit (ICAR-CCRI advisory 2021)</t>
  </si>
  <si>
    <t>ICAR-CCRI Advisory on fruit fly, fruit-sucking moth and mites, 16 October 2021 (Marathi), p. 2</t>
  </si>
  <si>
    <t>या किडीचा प्रादुर्भाव आंबिया हंगामात फळ पिकण्याचा अवस्थेमध्ये सप्टेंबर ते नोव्हेंबर या काळात दिसून येतो. [Activity: Ambia season, fruit ripening, September to November.] ETL: 10% dropped infested fruit</t>
  </si>
  <si>
    <t>T11</t>
  </si>
  <si>
    <t>Fruit-sucking moth</t>
  </si>
  <si>
    <t>Active in: Aug, Sep, Oct, Nov. Active August-November; ETL 10% dropped fruit (ICAR-CCRI advisory 2021)</t>
  </si>
  <si>
    <t>ICAR-CCRI Advisory, 16 October 2021, p. 6</t>
  </si>
  <si>
    <t>या किडीचा प्रादुर्भाव आंबीया हंगामात फळ पिकण्याच्या अवस्थेमध्ये ऑगस्ट ते नोव्हेंबर या काळात दिसून येतो. [Activity: August to November.] ETL: 10% dropped fruit</t>
  </si>
  <si>
    <t>T12</t>
  </si>
  <si>
    <t>Mites (rust / green)</t>
  </si>
  <si>
    <t>Active in: Apr, May, Oct, Nov, Dec. Active April-May and October-December; water stress increases mites; ETL 2% fruit / 10% leaves (ICAR-CCRI advisories 2021, 2022)</t>
  </si>
  <si>
    <t>ICAR-CCRI Advisory, 16 October 2021; and Advisory for mitigating rising temperature, April-May (21 April 2022): 'Water stress conditions often aggravate the mite problem during these months.', p. 4-5; 1</t>
  </si>
  <si>
    <t>कोळी एप्रिल ते मे आणि ऑक्टोबर ते डिसेंबर या काळात सक्रीय असते ... पाण्याचा ताण पडल्यास कोळीचा प्रादुर्भाव वाढतो. [Mites active Apr-May and Oct-Dec ... water stress increases mite incidence; ETL 2% fruit, 10% leaves affected] ... Water stress conditions often aggravate the mite problem during these months.</t>
  </si>
  <si>
    <t>Active in: Apr, Aug, Dec. Normally active April, August, December; ETL 5-10 nymphs/leaf (ICAR-CCRI advisory 2022)</t>
  </si>
  <si>
    <t>ICAR-CCRI Blackfly advisory, 21 November 2022 (Marathi), p. 1-2</t>
  </si>
  <si>
    <t>साधारणता एप्रिल, ऑगस्ट व डिसेंबर महिन्यामध्ये सक्रिय असणारी काळी माशी ... [Blackfly, normally active in April, August and December, has appeared in very large numbers in November.] ETL 5-10 nymphs/leaf</t>
  </si>
  <si>
    <t>T09</t>
  </si>
  <si>
    <t>Active in: Aug, Sep, Oct (from 08-15). Late monsoon mid-August to October after continuous wet weather (ICAR-CCRI alert 2021)</t>
  </si>
  <si>
    <t>ICAR-CCRI Disease Occurrence Alert for Phytophthora brown rot, 5 July 2021, p. 1</t>
  </si>
  <si>
    <t>Phytophthora brown rot is a fruit disease usually associated with continuous wet weather and poor water drainage conditions. It commonly appears during late monsoon phase (mid-August to October) following periods of extended high rainfall.</t>
  </si>
  <si>
    <t>A06</t>
  </si>
  <si>
    <t>Summer heat and water stress (irrigate, mulch)</t>
  </si>
  <si>
    <t>Active in: Apr, May. Rising temperature causes fruit drop in April-May; water stress aggravates mites (ICAR-CCRI 2022)</t>
  </si>
  <si>
    <t>ICAR-CCRI Advisory for mitigating the effect of rising temperature in citrus orchards for the month of April-May (21 Apr 2022), p. 1</t>
  </si>
  <si>
    <t>Due to recent increase in temperature in Vidharbha region, citrus orchards are being affected with the problem of fruit drop ... to be followed during the months of April-May ... Water stress conditions often aggravate the mite problem during these months.</t>
  </si>
  <si>
    <t>A05</t>
  </si>
  <si>
    <t>Waterlogging risk (monsoon)</t>
  </si>
  <si>
    <t>Active in: Jun, Jul, Aug, Sep. Continuous high rainfall in a short span leading to waterlogging (ICAR-CRIDA Contingency Plan; the plan gives no months - June-September taken from the kharif crop stages it lists)</t>
  </si>
  <si>
    <t>ICAR-CRIDA (2013) Contingency Plan Chhindwara, section 2.2, p. 17</t>
  </si>
  <si>
    <t>Continuous high rainfall in a short span leading to water logging ... Heavy rainfall with high speed wind in a short span</t>
  </si>
  <si>
    <t>X-B01</t>
  </si>
  <si>
    <t>Brown-rot early-onset watch</t>
  </si>
  <si>
    <t>Active in: Jul, Aug (from 07-01). Brown rot can start in early July: ICAR-CCRI Disease Occurrence Alert of 5 July 2021 ('incidence of Phytophthora brown rot disease has started appearing' in Katol and Narkhed), ahead of the usual mid-August onset (T09); Timmer et al. 2000: epidemics from July to October.</t>
  </si>
  <si>
    <t>see condition</t>
  </si>
  <si>
    <t>X-G01</t>
  </si>
  <si>
    <t>Gummosis prevention - pre-monsoon trunk paste</t>
  </si>
  <si>
    <t>Active in: May, Jun (from 05-15). Apply Bordeaux paste (CuSO4 : lime : water = 1:1:10) to the trunk before the monsoon (normal onset 8 June) and scout the collar for gum oozing: ICAR-CCRI QRT 2013-18 ('Bordeaux paste ... as pre monsoon / post monsoon trunk application'). Weather does not predict gummosis years (back-test part D).</t>
  </si>
  <si>
    <t>X-G02</t>
  </si>
  <si>
    <t>Gummosis prevention - post-monsoon trunk paste and lesion check</t>
  </si>
  <si>
    <t>Active in: Oct (from 10-08). Repeat the Bordeaux paste after the monsoon and scrape and paste active lesions: ICAR-CCRI QRT 2013-18; at ZARS Chhindwara lesions developed from September and Bordeaux paste (1 % with mustard oil) was the most effective treatment (Thakre et al. 2017, IJCMAS 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</si>
</sst>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3"/>
      <name val="Arial"/>
    </font>
    <font>
      <b/>
      <sz val="9"/>
      <name val="Arial"/>
      <family val="2"/>
    </font>
    <font>
      <b/>
      <sz val="8"/>
      <name val="Arial"/>
      <family val="2"/>
    </font>
    <font>
      <sz val="8"/>
      <name val="Arial"/>
      <family val="2"/>
    </font>
    <font>
      <u/>
      <sz val="8"/>
      <name val="Arial"/>
      <family val="2"/>
    </font>
    <font>
      <b/>
      <sz val="13"/>
      <name val="Arial"/>
      <family val="2"/>
    </font>
    <font>
      <sz val="1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0" xfId="0" applyFont="1"/>
    <xf numFmtId="0" fontId="2" fillId="0" borderId="1" xfId="0" applyFont="1" applyBorder="1" applyAlignment="1">
      <alignment horizontal="center" vertical="top" wrapText="1"/>
    </xf>
    <xf numFmtId="0" fontId="3" fillId="0" borderId="1" xfId="0" applyFont="1" applyBorder="1" applyAlignment="1">
      <alignment horizontal="center"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horizontal="center" vertical="top" wrapText="1"/>
    </xf>
    <xf numFmtId="0" fontId="6" fillId="0" borderId="1" xfId="0" applyFont="1" applyBorder="1"/>
    <xf numFmtId="0" fontId="7" fillId="0" borderId="1" xfId="0" applyFont="1" applyBorder="1"/>
    <xf numFmtId="0" fontId="2" fillId="2" borderId="1" xfId="0" applyFont="1" applyFill="1" applyBorder="1" applyAlignment="1">
      <alignment horizontal="center" vertical="top" wrapText="1"/>
    </xf>
    <xf numFmtId="0" fontId="4" fillId="2" borderId="1" xfId="0" applyFont="1" applyFill="1" applyBorder="1" applyAlignment="1">
      <alignment horizontal="center" vertical="top" wrapText="1"/>
    </xf>
    <xf numFmtId="0" fontId="3" fillId="2" borderId="1" xfId="0" applyFont="1" applyFill="1" applyBorder="1" applyAlignment="1">
      <alignment horizontal="center" vertical="top" wrapText="1"/>
    </xf>
    <xf numFmtId="0" fontId="4" fillId="2" borderId="1" xfId="0" applyFont="1" applyFill="1" applyBorder="1" applyAlignment="1">
      <alignment vertical="top" wrapText="1"/>
    </xf>
    <xf numFmtId="0" fontId="5" fillId="2" borderId="1" xfId="0" applyFont="1" applyFill="1" applyBorder="1" applyAlignment="1">
      <alignment vertical="top" wrapText="1"/>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downtoearth.org.in/coverage/orange-tumbles-37976" TargetMode="External"/><Relationship Id="rId18" Type="http://schemas.openxmlformats.org/officeDocument/2006/relationships/hyperlink" Target="https://icar.org.in/sites/default/files/2022-07/QRT-NAGPUR-01.pdf" TargetMode="External"/><Relationship Id="rId26" Type="http://schemas.openxmlformats.org/officeDocument/2006/relationships/hyperlink" Target="https://ccri.org.in/site/assets/files/2020/news12018.pdf" TargetMode="External"/><Relationship Id="rId3" Type="http://schemas.openxmlformats.org/officeDocument/2006/relationships/hyperlink" Target="https://www.patrika.com/chhindwara-news/story-of-orange-city-sweetness-of-oranges-turning-into-bitterness-7262300/" TargetMode="External"/><Relationship Id="rId21" Type="http://schemas.openxmlformats.org/officeDocument/2006/relationships/hyperlink" Target="https://agrowon.esakal.com/mukhya-batamya/agriculture-news-marathigive-orange-growers-lot-help-20492" TargetMode="External"/><Relationship Id="rId7" Type="http://schemas.openxmlformats.org/officeDocument/2006/relationships/hyperlink" Target="https://ccri.org.in/site/assets/files/1167/ccriblackfly.pdf" TargetMode="External"/><Relationship Id="rId12" Type="http://schemas.openxmlformats.org/officeDocument/2006/relationships/hyperlink" Target="https://www.freshplaza.com/north-america/article/2126648/india-nagpuri-santra-orange-farmers-feel-the-heat/" TargetMode="External"/><Relationship Id="rId17" Type="http://schemas.openxmlformats.org/officeDocument/2006/relationships/hyperlink" Target="https://icar.org.in/sites/default/files/2022-07/QRT-NAGPUR-01.pdf" TargetMode="External"/><Relationship Id="rId25" Type="http://schemas.openxmlformats.org/officeDocument/2006/relationships/hyperlink" Target="https://ccri.org.in/site/assets/files/1315/ar2021.pdf" TargetMode="External"/><Relationship Id="rId33" Type="http://schemas.openxmlformats.org/officeDocument/2006/relationships/comments" Target="../comments1.xml"/><Relationship Id="rId2" Type="http://schemas.openxmlformats.org/officeDocument/2006/relationships/hyperlink" Target="https://www.ijcmas.com/6-7-2017/Bhupendra%20Thakre%2C%20et%20al.pdf" TargetMode="External"/><Relationship Id="rId16" Type="http://schemas.openxmlformats.org/officeDocument/2006/relationships/hyperlink" Target="https://icar.org.in/sites/default/files/2022-07/QRT-NAGPUR-01.pdf" TargetMode="External"/><Relationship Id="rId20" Type="http://schemas.openxmlformats.org/officeDocument/2006/relationships/hyperlink" Target="https://icar.org.in/sites/default/files/2022-07/QRT-NAGPUR-01.pdf" TargetMode="External"/><Relationship Id="rId29" Type="http://schemas.openxmlformats.org/officeDocument/2006/relationships/hyperlink" Target="https://www.etvbharat.com/hi/state/unseasonal-rain-and-hailstorms-in-mp-dashed-farmers-crops-chhindwara-pandhurna-farmers-in-pain-madhya-pradesh-news-mps26032000471" TargetMode="External"/><Relationship Id="rId1" Type="http://schemas.openxmlformats.org/officeDocument/2006/relationships/hyperlink" Target="https://jpds.co.in/wp-content/uploads/2022/08/4.Bhupendra-Thakre-22391.pdf" TargetMode="External"/><Relationship Id="rId6" Type="http://schemas.openxmlformats.org/officeDocument/2006/relationships/hyperlink" Target="https://ccri.org.in/site/assets/files/1167/icar-ccri_advisory_fruit_fly-_fsm_and_mites_oct_2021.pdf" TargetMode="External"/><Relationship Id="rId11" Type="http://schemas.openxmlformats.org/officeDocument/2006/relationships/hyperlink" Target="https://www.tv9marathi.com/videos/nagpur-orange-crop-loss-vidarbha-droughts-impact-on-farmers-1753484.html" TargetMode="External"/><Relationship Id="rId24" Type="http://schemas.openxmlformats.org/officeDocument/2006/relationships/hyperlink" Target="https://ccri.org.in/site/assets/files/1315/ar2021.pdf" TargetMode="External"/><Relationship Id="rId32" Type="http://schemas.openxmlformats.org/officeDocument/2006/relationships/vmlDrawing" Target="../drawings/vmlDrawing1.vml"/><Relationship Id="rId5" Type="http://schemas.openxmlformats.org/officeDocument/2006/relationships/hyperlink" Target="https://ccri.org.in/site/assets/files/1167/icar_ccri_phytopthora_brown_rot_advisory_english_july_2021.pdf" TargetMode="External"/><Relationship Id="rId15" Type="http://schemas.openxmlformats.org/officeDocument/2006/relationships/hyperlink" Target="https://www.phytojournal.com/archives/2024/vol13issue2/PartC/13-2-5-117.pdf" TargetMode="External"/><Relationship Id="rId23" Type="http://schemas.openxmlformats.org/officeDocument/2006/relationships/hyperlink" Target="https://ccri.org.in/site/assets/files/2024/july-sep2020.pdf" TargetMode="External"/><Relationship Id="rId28" Type="http://schemas.openxmlformats.org/officeDocument/2006/relationships/hyperlink" Target="https://ccri.org.in/site/assets/files/2024/july-sep2020.pdf" TargetMode="External"/><Relationship Id="rId10" Type="http://schemas.openxmlformats.org/officeDocument/2006/relationships/hyperlink" Target="https://www.aajtak.in/agriculture/agriculture-rural-news/story/nagpur-orange-crop-damaged-weather-condition-heat-black-fungus-farmers-worried-lbsa-1459476-2022-05-07" TargetMode="External"/><Relationship Id="rId19" Type="http://schemas.openxmlformats.org/officeDocument/2006/relationships/hyperlink" Target="https://icar.org.in/sites/default/files/2022-07/QRT-NAGPUR-01.pdf" TargetMode="External"/><Relationship Id="rId31" Type="http://schemas.openxmlformats.org/officeDocument/2006/relationships/hyperlink" Target="https://www.groundreport.in/groundreport/erratic-rainfall-orange-farmers-and-traders-suffer-in-pandhura-8751469/" TargetMode="External"/><Relationship Id="rId4" Type="http://schemas.openxmlformats.org/officeDocument/2006/relationships/hyperlink" Target="https://www.groundreport.in/groundreport/erratic-rainfall-orange-farmers-and-traders-suffer-in-pandhura-8751469/" TargetMode="External"/><Relationship Id="rId9" Type="http://schemas.openxmlformats.org/officeDocument/2006/relationships/hyperlink" Target="https://agrowon.esakal.com/agro-special/orange-crop-loss-farmers-await-compensation-amid-uncertainty" TargetMode="External"/><Relationship Id="rId14" Type="http://schemas.openxmlformats.org/officeDocument/2006/relationships/hyperlink" Target="https://www.chemijournal.com/archives/2014/vol1issue5/PartA/11-1-20-473.pdf" TargetMode="External"/><Relationship Id="rId22" Type="http://schemas.openxmlformats.org/officeDocument/2006/relationships/hyperlink" Target="https://www.downtoearth.org.in/coverage/orange-tumbles-37976" TargetMode="External"/><Relationship Id="rId27" Type="http://schemas.openxmlformats.org/officeDocument/2006/relationships/hyperlink" Target="https://ccri.org.in/site/assets/files/2016/news32019.pdf" TargetMode="External"/><Relationship Id="rId30" Type="http://schemas.openxmlformats.org/officeDocument/2006/relationships/hyperlink" Target="https://navbharatlive.com/maharashtra/amravati/severe-hailstorm-in-morshi-causes-heavy-damage-to-orange-orchards-farmers-in-distress-demand-for-compensation-1793659.html" TargetMode="External"/><Relationship Id="rId8" Type="http://schemas.openxmlformats.org/officeDocument/2006/relationships/hyperlink" Target="https://ccri.org.in/site/assets/files/1167/advisory_for_hailstorm_and_unseasonal_rainfall_in_citrus_orchards.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34"/>
  <sheetViews>
    <sheetView tabSelected="1" topLeftCell="K1" workbookViewId="0">
      <selection activeCell="T4" sqref="T4"/>
    </sheetView>
  </sheetViews>
  <sheetFormatPr defaultRowHeight="14.4" x14ac:dyDescent="0.3"/>
  <cols>
    <col min="1" max="1" width="8" customWidth="1"/>
    <col min="2" max="2" width="16" customWidth="1"/>
    <col min="3" max="3" width="22" customWidth="1"/>
    <col min="4" max="4" width="40" customWidth="1"/>
    <col min="5" max="5" width="32" customWidth="1"/>
    <col min="6" max="6" width="40" customWidth="1"/>
    <col min="7" max="7" width="30" customWidth="1"/>
    <col min="8" max="8" width="14" customWidth="1"/>
    <col min="9" max="9" width="16" customWidth="1"/>
    <col min="10" max="10" width="34" customWidth="1"/>
    <col min="11" max="11" width="30" customWidth="1"/>
    <col min="12" max="12" width="16" customWidth="1"/>
    <col min="13" max="13" width="14" customWidth="1"/>
    <col min="14" max="14" width="18" customWidth="1"/>
    <col min="15" max="16" width="12" customWidth="1"/>
    <col min="17" max="17" width="18" customWidth="1"/>
    <col min="18" max="18" width="60" customWidth="1"/>
    <col min="19" max="19" width="12" customWidth="1"/>
    <col min="20" max="21" width="13" customWidth="1"/>
    <col min="22" max="23" width="12" customWidth="1"/>
    <col min="24" max="24" width="30" customWidth="1"/>
  </cols>
  <sheetData>
    <row r="1" spans="1:24" ht="16.5" customHeight="1" x14ac:dyDescent="0.3">
      <c r="A1" s="1" t="s">
        <v>0</v>
      </c>
    </row>
    <row r="3" spans="1:24" ht="45" customHeight="1" x14ac:dyDescent="0.3">
      <c r="A3" s="2" t="s">
        <v>1</v>
      </c>
      <c r="B3" s="2" t="s">
        <v>2</v>
      </c>
      <c r="C3" s="2" t="s">
        <v>3</v>
      </c>
      <c r="D3" s="2" t="s">
        <v>4</v>
      </c>
      <c r="E3" s="2" t="s">
        <v>5</v>
      </c>
      <c r="F3" s="2" t="s">
        <v>6</v>
      </c>
      <c r="G3" s="2" t="s">
        <v>7</v>
      </c>
      <c r="H3" s="2" t="s">
        <v>8</v>
      </c>
      <c r="I3" s="2" t="s">
        <v>9</v>
      </c>
      <c r="J3" s="2" t="s">
        <v>10</v>
      </c>
      <c r="K3" s="2" t="s">
        <v>11</v>
      </c>
      <c r="L3" s="2" t="s">
        <v>12</v>
      </c>
      <c r="M3" s="2" t="s">
        <v>13</v>
      </c>
      <c r="N3" s="9" t="s">
        <v>14</v>
      </c>
      <c r="O3" s="9" t="s">
        <v>15</v>
      </c>
      <c r="P3" s="9" t="s">
        <v>16</v>
      </c>
      <c r="Q3" s="2" t="s">
        <v>17</v>
      </c>
      <c r="R3" s="2" t="s">
        <v>18</v>
      </c>
      <c r="S3" s="2" t="s">
        <v>19</v>
      </c>
      <c r="T3" s="2" t="s">
        <v>20</v>
      </c>
      <c r="U3" s="2" t="s">
        <v>21</v>
      </c>
      <c r="V3" s="2" t="s">
        <v>22</v>
      </c>
      <c r="W3" s="2" t="s">
        <v>23</v>
      </c>
      <c r="X3" s="2" t="s">
        <v>24</v>
      </c>
    </row>
    <row r="4" spans="1:24" s="14" customFormat="1" ht="110.1" customHeight="1" x14ac:dyDescent="0.3">
      <c r="A4" s="11" t="s">
        <v>25</v>
      </c>
      <c r="B4" s="12" t="s">
        <v>26</v>
      </c>
      <c r="C4" s="12" t="s">
        <v>27</v>
      </c>
      <c r="D4" s="12" t="s">
        <v>28</v>
      </c>
      <c r="E4" s="12" t="s">
        <v>29</v>
      </c>
      <c r="F4" s="12" t="s">
        <v>30</v>
      </c>
      <c r="G4" s="12" t="s">
        <v>31</v>
      </c>
      <c r="H4" s="12" t="s">
        <v>32</v>
      </c>
      <c r="I4" s="12" t="s">
        <v>33</v>
      </c>
      <c r="J4" s="13" t="s">
        <v>34</v>
      </c>
      <c r="K4" s="12" t="s">
        <v>35</v>
      </c>
      <c r="L4" s="12" t="s">
        <v>36</v>
      </c>
      <c r="M4" s="12" t="s">
        <v>37</v>
      </c>
      <c r="N4" s="12" t="s">
        <v>38</v>
      </c>
      <c r="O4" s="10" t="s">
        <v>39</v>
      </c>
      <c r="P4" s="10" t="s">
        <v>40</v>
      </c>
      <c r="Q4" s="12" t="s">
        <v>41</v>
      </c>
      <c r="R4" s="12" t="s">
        <v>42</v>
      </c>
      <c r="S4" s="10" t="s">
        <v>43</v>
      </c>
      <c r="T4" s="10" t="s">
        <v>44</v>
      </c>
      <c r="U4" s="10" t="s">
        <v>45</v>
      </c>
      <c r="V4" s="10"/>
      <c r="W4" s="10"/>
      <c r="X4" s="12" t="s">
        <v>46</v>
      </c>
    </row>
    <row r="5" spans="1:24" ht="110.1" customHeight="1" x14ac:dyDescent="0.3">
      <c r="A5" s="3" t="s">
        <v>47</v>
      </c>
      <c r="B5" s="4" t="s">
        <v>48</v>
      </c>
      <c r="C5" s="4" t="s">
        <v>49</v>
      </c>
      <c r="D5" s="4" t="s">
        <v>50</v>
      </c>
      <c r="E5" s="4" t="s">
        <v>51</v>
      </c>
      <c r="F5" s="4" t="s">
        <v>52</v>
      </c>
      <c r="G5" s="4" t="s">
        <v>53</v>
      </c>
      <c r="H5" s="4" t="s">
        <v>54</v>
      </c>
      <c r="I5" s="4" t="s">
        <v>55</v>
      </c>
      <c r="J5" s="5" t="s">
        <v>56</v>
      </c>
      <c r="K5" s="4" t="s">
        <v>57</v>
      </c>
      <c r="L5" s="4" t="s">
        <v>58</v>
      </c>
      <c r="M5" s="4" t="s">
        <v>59</v>
      </c>
      <c r="N5" s="4" t="s">
        <v>60</v>
      </c>
      <c r="O5" s="6" t="s">
        <v>61</v>
      </c>
      <c r="P5" s="6" t="s">
        <v>62</v>
      </c>
      <c r="Q5" s="4" t="s">
        <v>63</v>
      </c>
      <c r="R5" s="4" t="s">
        <v>64</v>
      </c>
      <c r="S5" s="6"/>
      <c r="T5" s="6"/>
      <c r="U5" s="6"/>
      <c r="V5" s="6"/>
      <c r="W5" s="6"/>
      <c r="X5" s="4"/>
    </row>
    <row r="6" spans="1:24" ht="110.1" customHeight="1" x14ac:dyDescent="0.3">
      <c r="A6" s="3" t="s">
        <v>65</v>
      </c>
      <c r="B6" s="4" t="s">
        <v>48</v>
      </c>
      <c r="C6" s="4" t="s">
        <v>66</v>
      </c>
      <c r="D6" s="4" t="s">
        <v>67</v>
      </c>
      <c r="E6" s="4" t="s">
        <v>68</v>
      </c>
      <c r="F6" s="4" t="s">
        <v>69</v>
      </c>
      <c r="G6" s="4" t="s">
        <v>70</v>
      </c>
      <c r="H6" s="4" t="s">
        <v>71</v>
      </c>
      <c r="I6" s="4" t="s">
        <v>72</v>
      </c>
      <c r="J6" s="5" t="s">
        <v>73</v>
      </c>
      <c r="K6" s="4" t="s">
        <v>37</v>
      </c>
      <c r="L6" s="4" t="s">
        <v>36</v>
      </c>
      <c r="M6" s="4" t="s">
        <v>37</v>
      </c>
      <c r="N6" s="4" t="s">
        <v>74</v>
      </c>
      <c r="O6" s="6" t="s">
        <v>75</v>
      </c>
      <c r="P6" s="6" t="s">
        <v>75</v>
      </c>
      <c r="Q6" s="4" t="s">
        <v>76</v>
      </c>
      <c r="R6" s="4" t="s">
        <v>77</v>
      </c>
      <c r="S6" s="6"/>
      <c r="T6" s="6"/>
      <c r="U6" s="6"/>
      <c r="V6" s="6"/>
      <c r="W6" s="6"/>
      <c r="X6" s="4"/>
    </row>
    <row r="7" spans="1:24" ht="110.1" customHeight="1" x14ac:dyDescent="0.3">
      <c r="A7" s="3" t="s">
        <v>78</v>
      </c>
      <c r="B7" s="4" t="s">
        <v>48</v>
      </c>
      <c r="C7" s="4" t="s">
        <v>79</v>
      </c>
      <c r="D7" s="4" t="s">
        <v>80</v>
      </c>
      <c r="E7" s="4" t="s">
        <v>81</v>
      </c>
      <c r="F7" s="4" t="s">
        <v>82</v>
      </c>
      <c r="G7" s="4" t="s">
        <v>83</v>
      </c>
      <c r="H7" s="4" t="s">
        <v>84</v>
      </c>
      <c r="I7" s="4" t="s">
        <v>85</v>
      </c>
      <c r="J7" s="5" t="s">
        <v>86</v>
      </c>
      <c r="K7" s="4" t="s">
        <v>87</v>
      </c>
      <c r="L7" s="4" t="s">
        <v>88</v>
      </c>
      <c r="M7" s="4" t="s">
        <v>59</v>
      </c>
      <c r="N7" s="4" t="s">
        <v>74</v>
      </c>
      <c r="O7" s="6" t="s">
        <v>89</v>
      </c>
      <c r="P7" s="6" t="s">
        <v>90</v>
      </c>
      <c r="Q7" s="4" t="s">
        <v>63</v>
      </c>
      <c r="R7" s="4" t="s">
        <v>64</v>
      </c>
      <c r="S7" s="6"/>
      <c r="T7" s="6"/>
      <c r="U7" s="6"/>
      <c r="V7" s="6"/>
      <c r="W7" s="6"/>
      <c r="X7" s="4"/>
    </row>
    <row r="8" spans="1:24" s="14" customFormat="1" ht="110.1" customHeight="1" x14ac:dyDescent="0.3">
      <c r="A8" s="11" t="s">
        <v>91</v>
      </c>
      <c r="B8" s="12" t="s">
        <v>48</v>
      </c>
      <c r="C8" s="12" t="s">
        <v>92</v>
      </c>
      <c r="D8" s="12" t="s">
        <v>93</v>
      </c>
      <c r="E8" s="12" t="s">
        <v>94</v>
      </c>
      <c r="F8" s="12" t="s">
        <v>95</v>
      </c>
      <c r="G8" s="12" t="s">
        <v>96</v>
      </c>
      <c r="H8" s="12" t="s">
        <v>97</v>
      </c>
      <c r="I8" s="12" t="s">
        <v>98</v>
      </c>
      <c r="J8" s="13" t="s">
        <v>99</v>
      </c>
      <c r="K8" s="12" t="s">
        <v>100</v>
      </c>
      <c r="L8" s="12" t="s">
        <v>101</v>
      </c>
      <c r="M8" s="12" t="s">
        <v>102</v>
      </c>
      <c r="N8" s="12" t="s">
        <v>103</v>
      </c>
      <c r="O8" s="10" t="s">
        <v>104</v>
      </c>
      <c r="P8" s="10" t="s">
        <v>104</v>
      </c>
      <c r="Q8" s="12" t="s">
        <v>105</v>
      </c>
      <c r="R8" s="12" t="s">
        <v>106</v>
      </c>
      <c r="S8" s="10" t="s">
        <v>107</v>
      </c>
      <c r="T8" s="10" t="s">
        <v>108</v>
      </c>
      <c r="U8" s="10" t="s">
        <v>109</v>
      </c>
      <c r="V8" s="10"/>
      <c r="W8" s="10"/>
      <c r="X8" s="12" t="s">
        <v>110</v>
      </c>
    </row>
    <row r="9" spans="1:24" ht="110.1" customHeight="1" x14ac:dyDescent="0.3">
      <c r="A9" s="3" t="s">
        <v>111</v>
      </c>
      <c r="B9" s="4" t="s">
        <v>112</v>
      </c>
      <c r="C9" s="4" t="s">
        <v>113</v>
      </c>
      <c r="D9" s="4" t="s">
        <v>114</v>
      </c>
      <c r="E9" s="4" t="s">
        <v>115</v>
      </c>
      <c r="F9" s="4" t="s">
        <v>116</v>
      </c>
      <c r="G9" s="4" t="s">
        <v>117</v>
      </c>
      <c r="H9" s="4" t="s">
        <v>118</v>
      </c>
      <c r="I9" s="4" t="s">
        <v>119</v>
      </c>
      <c r="J9" s="5" t="s">
        <v>120</v>
      </c>
      <c r="K9" s="4" t="s">
        <v>121</v>
      </c>
      <c r="L9" s="4" t="s">
        <v>122</v>
      </c>
      <c r="M9" s="4" t="s">
        <v>123</v>
      </c>
      <c r="N9" s="4" t="s">
        <v>124</v>
      </c>
      <c r="O9" s="6" t="s">
        <v>125</v>
      </c>
      <c r="P9" s="6" t="s">
        <v>125</v>
      </c>
      <c r="Q9" s="4" t="s">
        <v>126</v>
      </c>
      <c r="R9" s="4" t="s">
        <v>127</v>
      </c>
      <c r="S9" s="6"/>
      <c r="T9" s="6"/>
      <c r="U9" s="6"/>
      <c r="V9" s="6"/>
      <c r="W9" s="6"/>
      <c r="X9" s="4"/>
    </row>
    <row r="10" spans="1:24" ht="110.1" customHeight="1" x14ac:dyDescent="0.3">
      <c r="A10" s="3" t="s">
        <v>128</v>
      </c>
      <c r="B10" s="4" t="s">
        <v>129</v>
      </c>
      <c r="C10" s="4" t="s">
        <v>130</v>
      </c>
      <c r="D10" s="4" t="s">
        <v>131</v>
      </c>
      <c r="E10" s="4" t="s">
        <v>68</v>
      </c>
      <c r="F10" s="4" t="s">
        <v>132</v>
      </c>
      <c r="G10" s="4" t="s">
        <v>133</v>
      </c>
      <c r="H10" s="4" t="s">
        <v>118</v>
      </c>
      <c r="I10" s="4" t="s">
        <v>134</v>
      </c>
      <c r="J10" s="5" t="s">
        <v>135</v>
      </c>
      <c r="K10" s="4" t="s">
        <v>136</v>
      </c>
      <c r="L10" s="4" t="s">
        <v>137</v>
      </c>
      <c r="M10" s="4" t="s">
        <v>123</v>
      </c>
      <c r="N10" s="4" t="s">
        <v>124</v>
      </c>
      <c r="O10" s="6" t="s">
        <v>138</v>
      </c>
      <c r="P10" s="6" t="s">
        <v>138</v>
      </c>
      <c r="Q10" s="4" t="s">
        <v>139</v>
      </c>
      <c r="R10" s="4" t="s">
        <v>140</v>
      </c>
      <c r="S10" s="6"/>
      <c r="T10" s="6"/>
      <c r="U10" s="6"/>
      <c r="V10" s="6"/>
      <c r="W10" s="6"/>
      <c r="X10" s="4"/>
    </row>
    <row r="11" spans="1:24" ht="110.1" customHeight="1" x14ac:dyDescent="0.3">
      <c r="A11" s="3" t="s">
        <v>141</v>
      </c>
      <c r="B11" s="4" t="s">
        <v>142</v>
      </c>
      <c r="C11" s="4" t="s">
        <v>143</v>
      </c>
      <c r="D11" s="4" t="s">
        <v>144</v>
      </c>
      <c r="E11" s="4" t="s">
        <v>145</v>
      </c>
      <c r="F11" s="4" t="s">
        <v>146</v>
      </c>
      <c r="G11" s="4" t="s">
        <v>147</v>
      </c>
      <c r="H11" s="4" t="s">
        <v>118</v>
      </c>
      <c r="I11" s="4" t="s">
        <v>148</v>
      </c>
      <c r="J11" s="5" t="s">
        <v>149</v>
      </c>
      <c r="K11" s="4" t="s">
        <v>150</v>
      </c>
      <c r="L11" s="4" t="s">
        <v>151</v>
      </c>
      <c r="M11" s="4" t="s">
        <v>123</v>
      </c>
      <c r="N11" s="4" t="s">
        <v>124</v>
      </c>
      <c r="O11" s="6" t="s">
        <v>152</v>
      </c>
      <c r="P11" s="6" t="s">
        <v>153</v>
      </c>
      <c r="Q11" s="4" t="s">
        <v>154</v>
      </c>
      <c r="R11" s="4" t="s">
        <v>155</v>
      </c>
      <c r="S11" s="6"/>
      <c r="T11" s="6"/>
      <c r="U11" s="6"/>
      <c r="V11" s="6"/>
      <c r="W11" s="6"/>
      <c r="X11" s="4"/>
    </row>
    <row r="12" spans="1:24" ht="110.1" customHeight="1" x14ac:dyDescent="0.3">
      <c r="A12" s="3" t="s">
        <v>156</v>
      </c>
      <c r="B12" s="4" t="s">
        <v>48</v>
      </c>
      <c r="C12" s="4" t="s">
        <v>157</v>
      </c>
      <c r="D12" s="4" t="s">
        <v>158</v>
      </c>
      <c r="E12" s="4" t="s">
        <v>159</v>
      </c>
      <c r="F12" s="4" t="s">
        <v>160</v>
      </c>
      <c r="G12" s="4" t="s">
        <v>161</v>
      </c>
      <c r="H12" s="4" t="s">
        <v>162</v>
      </c>
      <c r="I12" s="4" t="s">
        <v>163</v>
      </c>
      <c r="J12" s="5" t="s">
        <v>164</v>
      </c>
      <c r="K12" s="4" t="s">
        <v>165</v>
      </c>
      <c r="L12" s="4" t="s">
        <v>101</v>
      </c>
      <c r="M12" s="4" t="s">
        <v>102</v>
      </c>
      <c r="N12" s="4" t="s">
        <v>103</v>
      </c>
      <c r="O12" s="6" t="s">
        <v>166</v>
      </c>
      <c r="P12" s="6" t="s">
        <v>167</v>
      </c>
      <c r="Q12" s="4" t="s">
        <v>76</v>
      </c>
      <c r="R12" s="4" t="s">
        <v>77</v>
      </c>
      <c r="S12" s="6"/>
      <c r="T12" s="6"/>
      <c r="U12" s="6"/>
      <c r="V12" s="6"/>
      <c r="W12" s="6"/>
      <c r="X12" s="4"/>
    </row>
    <row r="13" spans="1:24" ht="110.1" customHeight="1" x14ac:dyDescent="0.3">
      <c r="A13" s="3" t="s">
        <v>168</v>
      </c>
      <c r="B13" s="4" t="s">
        <v>169</v>
      </c>
      <c r="C13" s="4" t="s">
        <v>170</v>
      </c>
      <c r="D13" s="4" t="s">
        <v>171</v>
      </c>
      <c r="E13" s="4" t="s">
        <v>172</v>
      </c>
      <c r="F13" s="4" t="s">
        <v>173</v>
      </c>
      <c r="G13" s="4" t="s">
        <v>174</v>
      </c>
      <c r="H13" s="4" t="s">
        <v>71</v>
      </c>
      <c r="I13" s="4" t="s">
        <v>175</v>
      </c>
      <c r="J13" s="5" t="s">
        <v>176</v>
      </c>
      <c r="K13" s="4" t="s">
        <v>177</v>
      </c>
      <c r="L13" s="4" t="s">
        <v>101</v>
      </c>
      <c r="M13" s="4" t="s">
        <v>102</v>
      </c>
      <c r="N13" s="4" t="s">
        <v>103</v>
      </c>
      <c r="O13" s="6" t="s">
        <v>178</v>
      </c>
      <c r="P13" s="6" t="s">
        <v>179</v>
      </c>
      <c r="Q13" s="4" t="s">
        <v>180</v>
      </c>
      <c r="R13" s="4" t="s">
        <v>181</v>
      </c>
      <c r="S13" s="6"/>
      <c r="T13" s="6"/>
      <c r="U13" s="6"/>
      <c r="V13" s="6"/>
      <c r="W13" s="6"/>
      <c r="X13" s="4"/>
    </row>
    <row r="14" spans="1:24" ht="110.1" customHeight="1" x14ac:dyDescent="0.3">
      <c r="A14" s="3" t="s">
        <v>182</v>
      </c>
      <c r="B14" s="4" t="s">
        <v>183</v>
      </c>
      <c r="C14" s="4" t="s">
        <v>184</v>
      </c>
      <c r="D14" s="4" t="s">
        <v>185</v>
      </c>
      <c r="E14" s="4" t="s">
        <v>186</v>
      </c>
      <c r="F14" s="4" t="s">
        <v>187</v>
      </c>
      <c r="G14" s="4" t="s">
        <v>188</v>
      </c>
      <c r="H14" s="4" t="s">
        <v>189</v>
      </c>
      <c r="I14" s="4" t="s">
        <v>190</v>
      </c>
      <c r="J14" s="5" t="s">
        <v>191</v>
      </c>
      <c r="K14" s="4" t="s">
        <v>192</v>
      </c>
      <c r="L14" s="4" t="s">
        <v>101</v>
      </c>
      <c r="M14" s="4" t="s">
        <v>123</v>
      </c>
      <c r="N14" s="4" t="s">
        <v>124</v>
      </c>
      <c r="O14" s="6" t="s">
        <v>193</v>
      </c>
      <c r="P14" s="6" t="s">
        <v>194</v>
      </c>
      <c r="Q14" s="4" t="s">
        <v>195</v>
      </c>
      <c r="R14" s="4" t="s">
        <v>196</v>
      </c>
      <c r="S14" s="6"/>
      <c r="T14" s="6"/>
      <c r="U14" s="6"/>
      <c r="V14" s="6"/>
      <c r="W14" s="6"/>
      <c r="X14" s="4"/>
    </row>
    <row r="15" spans="1:24" ht="110.1" customHeight="1" x14ac:dyDescent="0.3">
      <c r="A15" s="3" t="s">
        <v>197</v>
      </c>
      <c r="B15" s="4" t="s">
        <v>198</v>
      </c>
      <c r="C15" s="4" t="s">
        <v>199</v>
      </c>
      <c r="D15" s="4" t="s">
        <v>200</v>
      </c>
      <c r="E15" s="4" t="s">
        <v>201</v>
      </c>
      <c r="F15" s="4" t="s">
        <v>202</v>
      </c>
      <c r="G15" s="4" t="s">
        <v>203</v>
      </c>
      <c r="H15" s="4" t="s">
        <v>84</v>
      </c>
      <c r="I15" s="4" t="s">
        <v>204</v>
      </c>
      <c r="J15" s="5" t="s">
        <v>205</v>
      </c>
      <c r="K15" s="4" t="s">
        <v>206</v>
      </c>
      <c r="L15" s="4" t="s">
        <v>207</v>
      </c>
      <c r="M15" s="4" t="s">
        <v>123</v>
      </c>
      <c r="N15" s="4" t="s">
        <v>124</v>
      </c>
      <c r="O15" s="6" t="s">
        <v>208</v>
      </c>
      <c r="P15" s="6" t="s">
        <v>209</v>
      </c>
      <c r="Q15" s="4" t="s">
        <v>210</v>
      </c>
      <c r="R15" s="4" t="s">
        <v>211</v>
      </c>
      <c r="S15" s="6"/>
      <c r="T15" s="6"/>
      <c r="U15" s="6"/>
      <c r="V15" s="6"/>
      <c r="W15" s="6"/>
      <c r="X15" s="4"/>
    </row>
    <row r="16" spans="1:24" ht="110.1" customHeight="1" x14ac:dyDescent="0.3">
      <c r="A16" s="3" t="s">
        <v>212</v>
      </c>
      <c r="B16" s="4" t="s">
        <v>129</v>
      </c>
      <c r="C16" s="4" t="s">
        <v>213</v>
      </c>
      <c r="D16" s="4" t="s">
        <v>214</v>
      </c>
      <c r="E16" s="4" t="s">
        <v>68</v>
      </c>
      <c r="F16" s="4" t="s">
        <v>215</v>
      </c>
      <c r="G16" s="4" t="s">
        <v>216</v>
      </c>
      <c r="H16" s="4" t="s">
        <v>84</v>
      </c>
      <c r="I16" s="4" t="s">
        <v>217</v>
      </c>
      <c r="J16" s="5" t="s">
        <v>218</v>
      </c>
      <c r="K16" s="4" t="s">
        <v>219</v>
      </c>
      <c r="L16" s="4" t="s">
        <v>122</v>
      </c>
      <c r="M16" s="4" t="s">
        <v>123</v>
      </c>
      <c r="N16" s="4" t="s">
        <v>124</v>
      </c>
      <c r="O16" s="6" t="s">
        <v>220</v>
      </c>
      <c r="P16" s="6" t="s">
        <v>221</v>
      </c>
      <c r="Q16" s="4" t="s">
        <v>222</v>
      </c>
      <c r="R16" s="4" t="s">
        <v>223</v>
      </c>
      <c r="S16" s="6"/>
      <c r="T16" s="6"/>
      <c r="U16" s="6"/>
      <c r="V16" s="6"/>
      <c r="W16" s="6"/>
      <c r="X16" s="4"/>
    </row>
    <row r="17" spans="1:24" ht="110.1" customHeight="1" x14ac:dyDescent="0.3">
      <c r="A17" s="3" t="s">
        <v>224</v>
      </c>
      <c r="B17" s="4" t="s">
        <v>129</v>
      </c>
      <c r="C17" s="4" t="s">
        <v>213</v>
      </c>
      <c r="D17" s="4" t="s">
        <v>225</v>
      </c>
      <c r="E17" s="4" t="s">
        <v>226</v>
      </c>
      <c r="F17" s="4" t="s">
        <v>227</v>
      </c>
      <c r="G17" s="4" t="s">
        <v>228</v>
      </c>
      <c r="H17" s="4" t="s">
        <v>229</v>
      </c>
      <c r="I17" s="4" t="s">
        <v>230</v>
      </c>
      <c r="J17" s="5" t="s">
        <v>231</v>
      </c>
      <c r="K17" s="4" t="s">
        <v>232</v>
      </c>
      <c r="L17" s="4" t="s">
        <v>101</v>
      </c>
      <c r="M17" s="4" t="s">
        <v>123</v>
      </c>
      <c r="N17" s="4" t="s">
        <v>124</v>
      </c>
      <c r="O17" s="6" t="s">
        <v>233</v>
      </c>
      <c r="P17" s="6" t="s">
        <v>234</v>
      </c>
      <c r="Q17" s="4" t="s">
        <v>222</v>
      </c>
      <c r="R17" s="4" t="s">
        <v>223</v>
      </c>
      <c r="S17" s="6"/>
      <c r="T17" s="6"/>
      <c r="U17" s="6"/>
      <c r="V17" s="6"/>
      <c r="W17" s="6"/>
      <c r="X17" s="4"/>
    </row>
    <row r="18" spans="1:24" ht="110.1" customHeight="1" x14ac:dyDescent="0.3">
      <c r="A18" s="3" t="s">
        <v>235</v>
      </c>
      <c r="B18" s="4" t="s">
        <v>129</v>
      </c>
      <c r="C18" s="4" t="s">
        <v>236</v>
      </c>
      <c r="D18" s="4" t="s">
        <v>237</v>
      </c>
      <c r="E18" s="4" t="s">
        <v>238</v>
      </c>
      <c r="F18" s="4" t="s">
        <v>239</v>
      </c>
      <c r="G18" s="4" t="s">
        <v>240</v>
      </c>
      <c r="H18" s="4" t="s">
        <v>229</v>
      </c>
      <c r="I18" s="4" t="s">
        <v>241</v>
      </c>
      <c r="J18" s="5" t="s">
        <v>242</v>
      </c>
      <c r="K18" s="4" t="s">
        <v>243</v>
      </c>
      <c r="L18" s="4" t="s">
        <v>101</v>
      </c>
      <c r="M18" s="4" t="s">
        <v>123</v>
      </c>
      <c r="N18" s="4" t="s">
        <v>124</v>
      </c>
      <c r="O18" s="6" t="s">
        <v>244</v>
      </c>
      <c r="P18" s="6" t="s">
        <v>245</v>
      </c>
      <c r="Q18" s="4" t="s">
        <v>246</v>
      </c>
      <c r="R18" s="4" t="s">
        <v>247</v>
      </c>
      <c r="S18" s="6"/>
      <c r="T18" s="6"/>
      <c r="U18" s="6"/>
      <c r="V18" s="6"/>
      <c r="W18" s="6"/>
      <c r="X18" s="4"/>
    </row>
    <row r="19" spans="1:24" ht="110.1" customHeight="1" x14ac:dyDescent="0.3">
      <c r="A19" s="3" t="s">
        <v>248</v>
      </c>
      <c r="B19" s="4" t="s">
        <v>249</v>
      </c>
      <c r="C19" s="4" t="s">
        <v>250</v>
      </c>
      <c r="D19" s="4" t="s">
        <v>251</v>
      </c>
      <c r="E19" s="4" t="s">
        <v>252</v>
      </c>
      <c r="F19" s="4" t="s">
        <v>253</v>
      </c>
      <c r="G19" s="4" t="s">
        <v>254</v>
      </c>
      <c r="H19" s="4" t="s">
        <v>255</v>
      </c>
      <c r="I19" s="4" t="s">
        <v>256</v>
      </c>
      <c r="J19" s="5" t="s">
        <v>257</v>
      </c>
      <c r="K19" s="4" t="s">
        <v>258</v>
      </c>
      <c r="L19" s="4" t="s">
        <v>259</v>
      </c>
      <c r="M19" s="4" t="s">
        <v>123</v>
      </c>
      <c r="N19" s="4" t="s">
        <v>124</v>
      </c>
      <c r="O19" s="6" t="s">
        <v>260</v>
      </c>
      <c r="P19" s="6" t="s">
        <v>261</v>
      </c>
      <c r="Q19" s="4" t="s">
        <v>262</v>
      </c>
      <c r="R19" s="4" t="s">
        <v>263</v>
      </c>
      <c r="S19" s="6"/>
      <c r="T19" s="6"/>
      <c r="U19" s="6"/>
      <c r="V19" s="6"/>
      <c r="W19" s="6"/>
      <c r="X19" s="4"/>
    </row>
    <row r="20" spans="1:24" ht="110.1" customHeight="1" x14ac:dyDescent="0.3">
      <c r="A20" s="3" t="s">
        <v>264</v>
      </c>
      <c r="B20" s="4" t="s">
        <v>249</v>
      </c>
      <c r="C20" s="4" t="s">
        <v>250</v>
      </c>
      <c r="D20" s="4" t="s">
        <v>265</v>
      </c>
      <c r="E20" s="4" t="s">
        <v>252</v>
      </c>
      <c r="F20" s="4" t="s">
        <v>253</v>
      </c>
      <c r="G20" s="4" t="s">
        <v>266</v>
      </c>
      <c r="H20" s="4" t="s">
        <v>255</v>
      </c>
      <c r="I20" s="4" t="s">
        <v>256</v>
      </c>
      <c r="J20" s="5" t="s">
        <v>257</v>
      </c>
      <c r="K20" s="4" t="s">
        <v>258</v>
      </c>
      <c r="L20" s="4" t="s">
        <v>259</v>
      </c>
      <c r="M20" s="4" t="s">
        <v>123</v>
      </c>
      <c r="N20" s="4" t="s">
        <v>124</v>
      </c>
      <c r="O20" s="6" t="s">
        <v>267</v>
      </c>
      <c r="P20" s="6" t="s">
        <v>268</v>
      </c>
      <c r="Q20" s="4" t="s">
        <v>262</v>
      </c>
      <c r="R20" s="4" t="s">
        <v>263</v>
      </c>
      <c r="S20" s="6"/>
      <c r="T20" s="6"/>
      <c r="U20" s="6"/>
      <c r="V20" s="6"/>
      <c r="W20" s="6"/>
      <c r="X20" s="4"/>
    </row>
    <row r="21" spans="1:24" ht="110.1" customHeight="1" x14ac:dyDescent="0.3">
      <c r="A21" s="3" t="s">
        <v>269</v>
      </c>
      <c r="B21" s="4" t="s">
        <v>249</v>
      </c>
      <c r="C21" s="4" t="s">
        <v>250</v>
      </c>
      <c r="D21" s="4" t="s">
        <v>265</v>
      </c>
      <c r="E21" s="4" t="s">
        <v>252</v>
      </c>
      <c r="F21" s="4" t="s">
        <v>253</v>
      </c>
      <c r="G21" s="4" t="s">
        <v>266</v>
      </c>
      <c r="H21" s="4" t="s">
        <v>255</v>
      </c>
      <c r="I21" s="4" t="s">
        <v>256</v>
      </c>
      <c r="J21" s="5" t="s">
        <v>257</v>
      </c>
      <c r="K21" s="4" t="s">
        <v>258</v>
      </c>
      <c r="L21" s="4" t="s">
        <v>259</v>
      </c>
      <c r="M21" s="4" t="s">
        <v>123</v>
      </c>
      <c r="N21" s="4" t="s">
        <v>124</v>
      </c>
      <c r="O21" s="6" t="s">
        <v>270</v>
      </c>
      <c r="P21" s="6" t="s">
        <v>271</v>
      </c>
      <c r="Q21" s="4" t="s">
        <v>262</v>
      </c>
      <c r="R21" s="4" t="s">
        <v>263</v>
      </c>
      <c r="S21" s="6"/>
      <c r="T21" s="6"/>
      <c r="U21" s="6"/>
      <c r="V21" s="6"/>
      <c r="W21" s="6"/>
      <c r="X21" s="4"/>
    </row>
    <row r="22" spans="1:24" ht="110.1" customHeight="1" x14ac:dyDescent="0.3">
      <c r="A22" s="3" t="s">
        <v>272</v>
      </c>
      <c r="B22" s="4" t="s">
        <v>249</v>
      </c>
      <c r="C22" s="4" t="s">
        <v>250</v>
      </c>
      <c r="D22" s="4" t="s">
        <v>265</v>
      </c>
      <c r="E22" s="4" t="s">
        <v>252</v>
      </c>
      <c r="F22" s="4" t="s">
        <v>253</v>
      </c>
      <c r="G22" s="4" t="s">
        <v>266</v>
      </c>
      <c r="H22" s="4" t="s">
        <v>255</v>
      </c>
      <c r="I22" s="4" t="s">
        <v>256</v>
      </c>
      <c r="J22" s="5" t="s">
        <v>257</v>
      </c>
      <c r="K22" s="4" t="s">
        <v>258</v>
      </c>
      <c r="L22" s="4" t="s">
        <v>259</v>
      </c>
      <c r="M22" s="4" t="s">
        <v>123</v>
      </c>
      <c r="N22" s="4" t="s">
        <v>124</v>
      </c>
      <c r="O22" s="6" t="s">
        <v>273</v>
      </c>
      <c r="P22" s="6" t="s">
        <v>274</v>
      </c>
      <c r="Q22" s="4" t="s">
        <v>262</v>
      </c>
      <c r="R22" s="4" t="s">
        <v>263</v>
      </c>
      <c r="S22" s="6"/>
      <c r="T22" s="6"/>
      <c r="U22" s="6"/>
      <c r="V22" s="6"/>
      <c r="W22" s="6"/>
      <c r="X22" s="4"/>
    </row>
    <row r="23" spans="1:24" ht="110.1" customHeight="1" x14ac:dyDescent="0.3">
      <c r="A23" s="3" t="s">
        <v>275</v>
      </c>
      <c r="B23" s="4" t="s">
        <v>249</v>
      </c>
      <c r="C23" s="4" t="s">
        <v>250</v>
      </c>
      <c r="D23" s="4" t="s">
        <v>265</v>
      </c>
      <c r="E23" s="4" t="s">
        <v>252</v>
      </c>
      <c r="F23" s="4" t="s">
        <v>253</v>
      </c>
      <c r="G23" s="4" t="s">
        <v>266</v>
      </c>
      <c r="H23" s="4" t="s">
        <v>255</v>
      </c>
      <c r="I23" s="4" t="s">
        <v>256</v>
      </c>
      <c r="J23" s="5" t="s">
        <v>257</v>
      </c>
      <c r="K23" s="4" t="s">
        <v>258</v>
      </c>
      <c r="L23" s="4" t="s">
        <v>259</v>
      </c>
      <c r="M23" s="4" t="s">
        <v>123</v>
      </c>
      <c r="N23" s="4" t="s">
        <v>124</v>
      </c>
      <c r="O23" s="6" t="s">
        <v>276</v>
      </c>
      <c r="P23" s="6" t="s">
        <v>277</v>
      </c>
      <c r="Q23" s="4" t="s">
        <v>262</v>
      </c>
      <c r="R23" s="4" t="s">
        <v>263</v>
      </c>
      <c r="S23" s="6"/>
      <c r="T23" s="6"/>
      <c r="U23" s="6"/>
      <c r="V23" s="6"/>
      <c r="W23" s="6"/>
      <c r="X23" s="4"/>
    </row>
    <row r="24" spans="1:24" ht="110.1" customHeight="1" x14ac:dyDescent="0.3">
      <c r="A24" s="3" t="s">
        <v>278</v>
      </c>
      <c r="B24" s="4" t="s">
        <v>279</v>
      </c>
      <c r="C24" s="4" t="s">
        <v>280</v>
      </c>
      <c r="D24" s="4" t="s">
        <v>281</v>
      </c>
      <c r="E24" s="4" t="s">
        <v>282</v>
      </c>
      <c r="F24" s="4" t="s">
        <v>283</v>
      </c>
      <c r="G24" s="4" t="s">
        <v>284</v>
      </c>
      <c r="H24" s="4" t="s">
        <v>162</v>
      </c>
      <c r="I24" s="4" t="s">
        <v>285</v>
      </c>
      <c r="J24" s="5" t="s">
        <v>286</v>
      </c>
      <c r="K24" s="4" t="s">
        <v>287</v>
      </c>
      <c r="L24" s="4" t="s">
        <v>101</v>
      </c>
      <c r="M24" s="4" t="s">
        <v>102</v>
      </c>
      <c r="N24" s="4" t="s">
        <v>288</v>
      </c>
      <c r="O24" s="6" t="s">
        <v>289</v>
      </c>
      <c r="P24" s="6" t="s">
        <v>289</v>
      </c>
      <c r="Q24" s="4" t="s">
        <v>290</v>
      </c>
      <c r="R24" s="4" t="s">
        <v>291</v>
      </c>
      <c r="S24" s="6"/>
      <c r="T24" s="6"/>
      <c r="U24" s="6"/>
      <c r="V24" s="6"/>
      <c r="W24" s="6"/>
      <c r="X24" s="4"/>
    </row>
    <row r="25" spans="1:24" ht="110.1" customHeight="1" x14ac:dyDescent="0.3">
      <c r="A25" s="3" t="s">
        <v>292</v>
      </c>
      <c r="B25" s="4" t="s">
        <v>249</v>
      </c>
      <c r="C25" s="4" t="s">
        <v>293</v>
      </c>
      <c r="D25" s="4" t="s">
        <v>294</v>
      </c>
      <c r="E25" s="4" t="s">
        <v>295</v>
      </c>
      <c r="F25" s="4" t="s">
        <v>296</v>
      </c>
      <c r="G25" s="4" t="s">
        <v>216</v>
      </c>
      <c r="H25" s="4" t="s">
        <v>84</v>
      </c>
      <c r="I25" s="4" t="s">
        <v>217</v>
      </c>
      <c r="J25" s="5" t="s">
        <v>218</v>
      </c>
      <c r="K25" s="4" t="s">
        <v>297</v>
      </c>
      <c r="L25" s="4" t="s">
        <v>298</v>
      </c>
      <c r="M25" s="4" t="s">
        <v>123</v>
      </c>
      <c r="N25" s="4" t="s">
        <v>124</v>
      </c>
      <c r="O25" s="6" t="s">
        <v>299</v>
      </c>
      <c r="P25" s="6" t="s">
        <v>300</v>
      </c>
      <c r="Q25" s="4" t="s">
        <v>301</v>
      </c>
      <c r="R25" s="4" t="s">
        <v>302</v>
      </c>
      <c r="S25" s="6"/>
      <c r="T25" s="6"/>
      <c r="U25" s="6"/>
      <c r="V25" s="6"/>
      <c r="W25" s="6"/>
      <c r="X25" s="4"/>
    </row>
    <row r="26" spans="1:24" s="14" customFormat="1" ht="110.1" customHeight="1" x14ac:dyDescent="0.3">
      <c r="A26" s="11" t="s">
        <v>303</v>
      </c>
      <c r="B26" s="12" t="s">
        <v>48</v>
      </c>
      <c r="C26" s="12" t="s">
        <v>304</v>
      </c>
      <c r="D26" s="12" t="s">
        <v>305</v>
      </c>
      <c r="E26" s="12" t="s">
        <v>306</v>
      </c>
      <c r="F26" s="12" t="s">
        <v>307</v>
      </c>
      <c r="G26" s="12" t="s">
        <v>308</v>
      </c>
      <c r="H26" s="12" t="s">
        <v>309</v>
      </c>
      <c r="I26" s="12" t="s">
        <v>310</v>
      </c>
      <c r="J26" s="13" t="s">
        <v>311</v>
      </c>
      <c r="K26" s="12" t="s">
        <v>312</v>
      </c>
      <c r="L26" s="12" t="s">
        <v>101</v>
      </c>
      <c r="M26" s="12" t="s">
        <v>102</v>
      </c>
      <c r="N26" s="12" t="s">
        <v>288</v>
      </c>
      <c r="O26" s="10" t="s">
        <v>313</v>
      </c>
      <c r="P26" s="10" t="s">
        <v>314</v>
      </c>
      <c r="Q26" s="12" t="s">
        <v>315</v>
      </c>
      <c r="R26" s="12" t="s">
        <v>316</v>
      </c>
      <c r="S26" s="10" t="s">
        <v>43</v>
      </c>
      <c r="T26" s="10" t="s">
        <v>317</v>
      </c>
      <c r="U26" s="10" t="s">
        <v>45</v>
      </c>
      <c r="V26" s="10"/>
      <c r="W26" s="10"/>
      <c r="X26" s="12" t="s">
        <v>318</v>
      </c>
    </row>
    <row r="27" spans="1:24" s="14" customFormat="1" ht="110.1" customHeight="1" x14ac:dyDescent="0.3">
      <c r="A27" s="11" t="s">
        <v>319</v>
      </c>
      <c r="B27" s="12" t="s">
        <v>48</v>
      </c>
      <c r="C27" s="12" t="s">
        <v>320</v>
      </c>
      <c r="D27" s="12" t="s">
        <v>321</v>
      </c>
      <c r="E27" s="12" t="s">
        <v>68</v>
      </c>
      <c r="F27" s="12" t="s">
        <v>322</v>
      </c>
      <c r="G27" s="12" t="s">
        <v>323</v>
      </c>
      <c r="H27" s="12" t="s">
        <v>324</v>
      </c>
      <c r="I27" s="12" t="s">
        <v>325</v>
      </c>
      <c r="J27" s="13" t="s">
        <v>326</v>
      </c>
      <c r="K27" s="12" t="s">
        <v>327</v>
      </c>
      <c r="L27" s="12" t="s">
        <v>101</v>
      </c>
      <c r="M27" s="12" t="s">
        <v>102</v>
      </c>
      <c r="N27" s="12" t="s">
        <v>288</v>
      </c>
      <c r="O27" s="10" t="s">
        <v>328</v>
      </c>
      <c r="P27" s="10" t="s">
        <v>328</v>
      </c>
      <c r="Q27" s="12" t="s">
        <v>329</v>
      </c>
      <c r="R27" s="12" t="s">
        <v>330</v>
      </c>
      <c r="S27" s="10" t="s">
        <v>107</v>
      </c>
      <c r="T27" s="10" t="s">
        <v>108</v>
      </c>
      <c r="U27" s="10" t="s">
        <v>109</v>
      </c>
      <c r="V27" s="10"/>
      <c r="W27" s="10"/>
      <c r="X27" s="12" t="s">
        <v>331</v>
      </c>
    </row>
    <row r="28" spans="1:24" ht="110.1" customHeight="1" x14ac:dyDescent="0.3">
      <c r="A28" s="3" t="s">
        <v>332</v>
      </c>
      <c r="B28" s="4" t="s">
        <v>333</v>
      </c>
      <c r="C28" s="4" t="s">
        <v>334</v>
      </c>
      <c r="D28" s="4" t="s">
        <v>335</v>
      </c>
      <c r="E28" s="4" t="s">
        <v>336</v>
      </c>
      <c r="F28" s="4" t="s">
        <v>337</v>
      </c>
      <c r="G28" s="4" t="s">
        <v>323</v>
      </c>
      <c r="H28" s="4" t="s">
        <v>324</v>
      </c>
      <c r="I28" s="4" t="s">
        <v>325</v>
      </c>
      <c r="J28" s="5" t="s">
        <v>326</v>
      </c>
      <c r="K28" s="4" t="s">
        <v>338</v>
      </c>
      <c r="L28" s="4" t="s">
        <v>101</v>
      </c>
      <c r="M28" s="4" t="s">
        <v>102</v>
      </c>
      <c r="N28" s="4" t="s">
        <v>103</v>
      </c>
      <c r="O28" s="6" t="s">
        <v>339</v>
      </c>
      <c r="P28" s="6" t="s">
        <v>340</v>
      </c>
      <c r="Q28" s="4" t="s">
        <v>341</v>
      </c>
      <c r="R28" s="4" t="s">
        <v>342</v>
      </c>
      <c r="S28" s="6"/>
      <c r="T28" s="6"/>
      <c r="U28" s="6"/>
      <c r="V28" s="6"/>
      <c r="W28" s="6"/>
      <c r="X28" s="4"/>
    </row>
    <row r="29" spans="1:24" ht="110.1" customHeight="1" x14ac:dyDescent="0.3">
      <c r="A29" s="3" t="s">
        <v>343</v>
      </c>
      <c r="B29" s="4" t="s">
        <v>344</v>
      </c>
      <c r="C29" s="4" t="s">
        <v>345</v>
      </c>
      <c r="D29" s="4" t="s">
        <v>346</v>
      </c>
      <c r="E29" s="4" t="s">
        <v>347</v>
      </c>
      <c r="F29" s="4" t="s">
        <v>348</v>
      </c>
      <c r="G29" s="4" t="s">
        <v>349</v>
      </c>
      <c r="H29" s="4" t="s">
        <v>309</v>
      </c>
      <c r="I29" s="4" t="s">
        <v>350</v>
      </c>
      <c r="J29" s="5" t="s">
        <v>351</v>
      </c>
      <c r="K29" s="4" t="s">
        <v>352</v>
      </c>
      <c r="L29" s="4" t="s">
        <v>207</v>
      </c>
      <c r="M29" s="4" t="s">
        <v>102</v>
      </c>
      <c r="N29" s="4" t="s">
        <v>353</v>
      </c>
      <c r="O29" s="6" t="s">
        <v>354</v>
      </c>
      <c r="P29" s="6" t="s">
        <v>355</v>
      </c>
      <c r="Q29" s="4" t="s">
        <v>154</v>
      </c>
      <c r="R29" s="4" t="s">
        <v>155</v>
      </c>
      <c r="S29" s="6"/>
      <c r="T29" s="6"/>
      <c r="U29" s="6"/>
      <c r="V29" s="6"/>
      <c r="W29" s="6"/>
      <c r="X29" s="4"/>
    </row>
    <row r="30" spans="1:24" ht="110.1" customHeight="1" x14ac:dyDescent="0.3">
      <c r="A30" s="3" t="s">
        <v>356</v>
      </c>
      <c r="B30" s="4" t="s">
        <v>333</v>
      </c>
      <c r="C30" s="4" t="s">
        <v>357</v>
      </c>
      <c r="D30" s="4" t="s">
        <v>358</v>
      </c>
      <c r="E30" s="4" t="s">
        <v>68</v>
      </c>
      <c r="F30" s="4" t="s">
        <v>359</v>
      </c>
      <c r="G30" s="4" t="s">
        <v>360</v>
      </c>
      <c r="H30" s="4" t="s">
        <v>309</v>
      </c>
      <c r="I30" s="4" t="s">
        <v>361</v>
      </c>
      <c r="J30" s="5" t="s">
        <v>362</v>
      </c>
      <c r="K30" s="4" t="s">
        <v>363</v>
      </c>
      <c r="L30" s="4" t="s">
        <v>364</v>
      </c>
      <c r="M30" s="4" t="s">
        <v>102</v>
      </c>
      <c r="N30" s="4" t="s">
        <v>353</v>
      </c>
      <c r="O30" s="6" t="s">
        <v>365</v>
      </c>
      <c r="P30" s="6" t="s">
        <v>365</v>
      </c>
      <c r="Q30" s="4" t="s">
        <v>366</v>
      </c>
      <c r="R30" s="4" t="s">
        <v>367</v>
      </c>
      <c r="S30" s="6"/>
      <c r="T30" s="6"/>
      <c r="U30" s="6"/>
      <c r="V30" s="6"/>
      <c r="W30" s="6"/>
      <c r="X30" s="4"/>
    </row>
    <row r="31" spans="1:24" s="14" customFormat="1" ht="110.1" customHeight="1" x14ac:dyDescent="0.3">
      <c r="A31" s="11" t="s">
        <v>368</v>
      </c>
      <c r="B31" s="12" t="s">
        <v>369</v>
      </c>
      <c r="C31" s="12" t="s">
        <v>370</v>
      </c>
      <c r="D31" s="12" t="s">
        <v>371</v>
      </c>
      <c r="E31" s="12" t="s">
        <v>372</v>
      </c>
      <c r="F31" s="12" t="s">
        <v>373</v>
      </c>
      <c r="G31" s="12" t="s">
        <v>374</v>
      </c>
      <c r="H31" s="12" t="s">
        <v>309</v>
      </c>
      <c r="I31" s="12" t="s">
        <v>310</v>
      </c>
      <c r="J31" s="13" t="s">
        <v>311</v>
      </c>
      <c r="K31" s="12" t="s">
        <v>375</v>
      </c>
      <c r="L31" s="12" t="s">
        <v>364</v>
      </c>
      <c r="M31" s="12" t="s">
        <v>102</v>
      </c>
      <c r="N31" s="12" t="s">
        <v>353</v>
      </c>
      <c r="O31" s="10" t="s">
        <v>313</v>
      </c>
      <c r="P31" s="10" t="s">
        <v>376</v>
      </c>
      <c r="Q31" s="12" t="s">
        <v>315</v>
      </c>
      <c r="R31" s="12" t="s">
        <v>316</v>
      </c>
      <c r="S31" s="10" t="s">
        <v>43</v>
      </c>
      <c r="T31" s="10" t="s">
        <v>317</v>
      </c>
      <c r="U31" s="10" t="s">
        <v>45</v>
      </c>
      <c r="V31" s="10"/>
      <c r="W31" s="10"/>
      <c r="X31" s="12" t="s">
        <v>377</v>
      </c>
    </row>
    <row r="32" spans="1:24" ht="110.1" customHeight="1" x14ac:dyDescent="0.3">
      <c r="A32" s="3" t="s">
        <v>378</v>
      </c>
      <c r="B32" s="4" t="s">
        <v>344</v>
      </c>
      <c r="C32" s="4" t="s">
        <v>379</v>
      </c>
      <c r="D32" s="4" t="s">
        <v>380</v>
      </c>
      <c r="E32" s="4" t="s">
        <v>381</v>
      </c>
      <c r="F32" s="4" t="s">
        <v>382</v>
      </c>
      <c r="G32" s="4" t="s">
        <v>383</v>
      </c>
      <c r="H32" s="4" t="s">
        <v>384</v>
      </c>
      <c r="I32" s="4" t="s">
        <v>385</v>
      </c>
      <c r="J32" s="5" t="s">
        <v>386</v>
      </c>
      <c r="K32" s="4" t="s">
        <v>387</v>
      </c>
      <c r="L32" s="4" t="s">
        <v>36</v>
      </c>
      <c r="M32" s="4" t="s">
        <v>37</v>
      </c>
      <c r="N32" s="4" t="s">
        <v>74</v>
      </c>
      <c r="O32" s="6" t="s">
        <v>388</v>
      </c>
      <c r="P32" s="6" t="s">
        <v>389</v>
      </c>
      <c r="Q32" s="4" t="s">
        <v>154</v>
      </c>
      <c r="R32" s="4" t="s">
        <v>155</v>
      </c>
      <c r="S32" s="6"/>
      <c r="T32" s="6"/>
      <c r="U32" s="6"/>
      <c r="V32" s="6"/>
      <c r="W32" s="6"/>
      <c r="X32" s="4"/>
    </row>
    <row r="33" spans="1:24" ht="110.1" customHeight="1" x14ac:dyDescent="0.3">
      <c r="A33" s="3" t="s">
        <v>390</v>
      </c>
      <c r="B33" s="4" t="s">
        <v>344</v>
      </c>
      <c r="C33" s="4" t="s">
        <v>391</v>
      </c>
      <c r="D33" s="4" t="s">
        <v>392</v>
      </c>
      <c r="E33" s="4" t="s">
        <v>393</v>
      </c>
      <c r="F33" s="4" t="s">
        <v>394</v>
      </c>
      <c r="G33" s="4" t="s">
        <v>395</v>
      </c>
      <c r="H33" s="4" t="s">
        <v>84</v>
      </c>
      <c r="I33" s="4" t="s">
        <v>396</v>
      </c>
      <c r="J33" s="5" t="s">
        <v>397</v>
      </c>
      <c r="K33" s="4" t="s">
        <v>398</v>
      </c>
      <c r="L33" s="4" t="s">
        <v>364</v>
      </c>
      <c r="M33" s="4" t="s">
        <v>399</v>
      </c>
      <c r="N33" s="4" t="s">
        <v>353</v>
      </c>
      <c r="O33" s="6" t="s">
        <v>400</v>
      </c>
      <c r="P33" s="6" t="s">
        <v>401</v>
      </c>
      <c r="Q33" s="4" t="s">
        <v>402</v>
      </c>
      <c r="R33" s="4" t="s">
        <v>403</v>
      </c>
      <c r="S33" s="6"/>
      <c r="T33" s="6"/>
      <c r="U33" s="6"/>
      <c r="V33" s="6"/>
      <c r="W33" s="6"/>
      <c r="X33" s="4"/>
    </row>
    <row r="34" spans="1:24" ht="110.1" customHeight="1" x14ac:dyDescent="0.3">
      <c r="A34" s="3" t="s">
        <v>404</v>
      </c>
      <c r="B34" s="4" t="s">
        <v>405</v>
      </c>
      <c r="C34" s="4" t="s">
        <v>406</v>
      </c>
      <c r="D34" s="4" t="s">
        <v>407</v>
      </c>
      <c r="E34" s="4" t="s">
        <v>408</v>
      </c>
      <c r="F34" s="4" t="s">
        <v>409</v>
      </c>
      <c r="G34" s="4" t="s">
        <v>83</v>
      </c>
      <c r="H34" s="4" t="s">
        <v>84</v>
      </c>
      <c r="I34" s="4" t="s">
        <v>410</v>
      </c>
      <c r="J34" s="5" t="s">
        <v>86</v>
      </c>
      <c r="K34" s="4" t="s">
        <v>411</v>
      </c>
      <c r="L34" s="4" t="s">
        <v>36</v>
      </c>
      <c r="M34" s="4" t="s">
        <v>37</v>
      </c>
      <c r="N34" s="4" t="s">
        <v>74</v>
      </c>
      <c r="O34" s="6" t="s">
        <v>412</v>
      </c>
      <c r="P34" s="6" t="s">
        <v>413</v>
      </c>
      <c r="Q34" s="4" t="s">
        <v>414</v>
      </c>
      <c r="R34" s="4" t="s">
        <v>415</v>
      </c>
      <c r="S34" s="6"/>
      <c r="T34" s="6"/>
      <c r="U34" s="6"/>
      <c r="V34" s="6"/>
      <c r="W34" s="6"/>
      <c r="X34" s="4"/>
    </row>
  </sheetData>
  <dataValidations count="3">
    <dataValidation type="list" allowBlank="1" sqref="S4:S34 V4:V34" xr:uid="{00000000-0002-0000-0000-000000000000}">
      <formula1>"Yes,No"</formula1>
    </dataValidation>
    <dataValidation type="list" allowBlank="1" sqref="U4:U34" xr:uid="{00000000-0002-0000-0000-000001000000}">
      <formula1>"No alert,Low,Moderate,High"</formula1>
    </dataValidation>
    <dataValidation type="whole" allowBlank="1" sqref="W4:W34" xr:uid="{00000000-0002-0000-0000-000002000000}">
      <formula1>0</formula1>
      <formula2>100</formula2>
    </dataValidation>
  </dataValidations>
  <hyperlinks>
    <hyperlink ref="J4" r:id="rId1" xr:uid="{00000000-0004-0000-0000-000000000000}"/>
    <hyperlink ref="J5" r:id="rId2" xr:uid="{00000000-0004-0000-0000-000001000000}"/>
    <hyperlink ref="J6" r:id="rId3" xr:uid="{00000000-0004-0000-0000-000002000000}"/>
    <hyperlink ref="J7" r:id="rId4" xr:uid="{00000000-0004-0000-0000-000003000000}"/>
    <hyperlink ref="J8" r:id="rId5" xr:uid="{00000000-0004-0000-0000-000004000000}"/>
    <hyperlink ref="J9" r:id="rId6" xr:uid="{00000000-0004-0000-0000-000005000000}"/>
    <hyperlink ref="J10" r:id="rId7" xr:uid="{00000000-0004-0000-0000-000006000000}"/>
    <hyperlink ref="J11" r:id="rId8" xr:uid="{00000000-0004-0000-0000-000007000000}"/>
    <hyperlink ref="J12" r:id="rId9" xr:uid="{00000000-0004-0000-0000-000008000000}"/>
    <hyperlink ref="J13" r:id="rId10" xr:uid="{00000000-0004-0000-0000-000009000000}"/>
    <hyperlink ref="J14" r:id="rId11" xr:uid="{00000000-0004-0000-0000-00000A000000}"/>
    <hyperlink ref="J15" r:id="rId12" xr:uid="{00000000-0004-0000-0000-00000B000000}"/>
    <hyperlink ref="J16" r:id="rId13" xr:uid="{00000000-0004-0000-0000-00000C000000}"/>
    <hyperlink ref="J17" r:id="rId14" xr:uid="{00000000-0004-0000-0000-00000D000000}"/>
    <hyperlink ref="J18" r:id="rId15" xr:uid="{00000000-0004-0000-0000-00000E000000}"/>
    <hyperlink ref="J19" r:id="rId16" xr:uid="{00000000-0004-0000-0000-00000F000000}"/>
    <hyperlink ref="J20" r:id="rId17" xr:uid="{00000000-0004-0000-0000-000010000000}"/>
    <hyperlink ref="J21" r:id="rId18" xr:uid="{00000000-0004-0000-0000-000011000000}"/>
    <hyperlink ref="J22" r:id="rId19" xr:uid="{00000000-0004-0000-0000-000012000000}"/>
    <hyperlink ref="J23" r:id="rId20" xr:uid="{00000000-0004-0000-0000-000013000000}"/>
    <hyperlink ref="J24" r:id="rId21" xr:uid="{00000000-0004-0000-0000-000014000000}"/>
    <hyperlink ref="J25" r:id="rId22" xr:uid="{00000000-0004-0000-0000-000015000000}"/>
    <hyperlink ref="J26" r:id="rId23" xr:uid="{00000000-0004-0000-0000-000016000000}"/>
    <hyperlink ref="J27" r:id="rId24" xr:uid="{00000000-0004-0000-0000-000017000000}"/>
    <hyperlink ref="J28" r:id="rId25" xr:uid="{00000000-0004-0000-0000-000018000000}"/>
    <hyperlink ref="J29" r:id="rId26" xr:uid="{00000000-0004-0000-0000-000019000000}"/>
    <hyperlink ref="J30" r:id="rId27" xr:uid="{00000000-0004-0000-0000-00001A000000}"/>
    <hyperlink ref="J31" r:id="rId28" xr:uid="{00000000-0004-0000-0000-00001B000000}"/>
    <hyperlink ref="J32" r:id="rId29" xr:uid="{00000000-0004-0000-0000-00001C000000}"/>
    <hyperlink ref="J33" r:id="rId30" xr:uid="{00000000-0004-0000-0000-00001D000000}"/>
    <hyperlink ref="J34" r:id="rId31" xr:uid="{00000000-0004-0000-0000-00001E000000}"/>
  </hyperlinks>
  <pageMargins left="0.75" right="0.75" top="1" bottom="1" header="0.5" footer="0.5"/>
  <pageSetup fitToHeight="0" orientation="landscape"/>
  <legacyDrawing r:id="rId3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38"/>
  <sheetViews>
    <sheetView topLeftCell="E11" workbookViewId="0">
      <selection activeCell="E15" sqref="E15"/>
    </sheetView>
  </sheetViews>
  <sheetFormatPr defaultRowHeight="14.4" x14ac:dyDescent="0.3"/>
  <cols>
    <col min="1" max="1" width="8" customWidth="1"/>
    <col min="2" max="2" width="18" customWidth="1"/>
    <col min="3" max="3" width="30" customWidth="1"/>
    <col min="4" max="4" width="60" customWidth="1"/>
    <col min="5" max="5" width="30" customWidth="1"/>
    <col min="6" max="6" width="40" customWidth="1"/>
    <col min="7" max="7" width="50" customWidth="1"/>
    <col min="8" max="8" width="9" customWidth="1"/>
    <col min="9" max="9" width="50" customWidth="1"/>
  </cols>
  <sheetData>
    <row r="1" spans="1:9" s="8" customFormat="1" ht="16.5" customHeight="1" x14ac:dyDescent="0.3">
      <c r="A1" s="7" t="s">
        <v>416</v>
      </c>
    </row>
    <row r="2" spans="1:9" s="8" customFormat="1" x14ac:dyDescent="0.3"/>
    <row r="3" spans="1:9" s="8" customFormat="1" ht="45" customHeight="1" x14ac:dyDescent="0.3">
      <c r="A3" s="2" t="s">
        <v>417</v>
      </c>
      <c r="B3" s="2" t="s">
        <v>418</v>
      </c>
      <c r="C3" s="2" t="s">
        <v>419</v>
      </c>
      <c r="D3" s="2" t="s">
        <v>420</v>
      </c>
      <c r="E3" s="2" t="s">
        <v>421</v>
      </c>
      <c r="F3" s="2" t="s">
        <v>7</v>
      </c>
      <c r="G3" s="2" t="s">
        <v>422</v>
      </c>
      <c r="H3" s="2" t="s">
        <v>423</v>
      </c>
      <c r="I3" s="2" t="s">
        <v>424</v>
      </c>
    </row>
    <row r="4" spans="1:9" s="8" customFormat="1" ht="90" customHeight="1" x14ac:dyDescent="0.3">
      <c r="A4" s="3" t="s">
        <v>425</v>
      </c>
      <c r="B4" s="4" t="s">
        <v>426</v>
      </c>
      <c r="C4" s="4" t="s">
        <v>427</v>
      </c>
      <c r="D4" s="4" t="s">
        <v>428</v>
      </c>
      <c r="E4" s="4" t="s">
        <v>429</v>
      </c>
      <c r="F4" s="4" t="s">
        <v>430</v>
      </c>
      <c r="G4" s="4" t="s">
        <v>431</v>
      </c>
      <c r="H4" s="6" t="s">
        <v>432</v>
      </c>
      <c r="I4" s="4" t="s">
        <v>433</v>
      </c>
    </row>
    <row r="5" spans="1:9" s="8" customFormat="1" ht="90" customHeight="1" x14ac:dyDescent="0.3">
      <c r="A5" s="3" t="s">
        <v>434</v>
      </c>
      <c r="B5" s="4" t="s">
        <v>426</v>
      </c>
      <c r="C5" s="4" t="s">
        <v>435</v>
      </c>
      <c r="D5" s="4" t="s">
        <v>436</v>
      </c>
      <c r="E5" s="4" t="s">
        <v>429</v>
      </c>
      <c r="F5" s="4" t="s">
        <v>437</v>
      </c>
      <c r="G5" s="4" t="s">
        <v>438</v>
      </c>
      <c r="H5" s="6" t="s">
        <v>439</v>
      </c>
      <c r="I5" s="4" t="s">
        <v>440</v>
      </c>
    </row>
    <row r="6" spans="1:9" s="8" customFormat="1" ht="90" customHeight="1" x14ac:dyDescent="0.3">
      <c r="A6" s="3" t="s">
        <v>441</v>
      </c>
      <c r="B6" s="4" t="s">
        <v>426</v>
      </c>
      <c r="C6" s="4" t="s">
        <v>442</v>
      </c>
      <c r="D6" s="4" t="s">
        <v>443</v>
      </c>
      <c r="E6" s="4" t="s">
        <v>429</v>
      </c>
      <c r="F6" s="4" t="s">
        <v>444</v>
      </c>
      <c r="G6" s="4" t="s">
        <v>445</v>
      </c>
      <c r="H6" s="6" t="s">
        <v>432</v>
      </c>
      <c r="I6" s="4" t="s">
        <v>446</v>
      </c>
    </row>
    <row r="7" spans="1:9" s="8" customFormat="1" ht="90" customHeight="1" x14ac:dyDescent="0.3">
      <c r="A7" s="3" t="s">
        <v>447</v>
      </c>
      <c r="B7" s="4" t="s">
        <v>426</v>
      </c>
      <c r="C7" s="4" t="s">
        <v>448</v>
      </c>
      <c r="D7" s="4" t="s">
        <v>449</v>
      </c>
      <c r="E7" s="4" t="s">
        <v>429</v>
      </c>
      <c r="F7" s="4" t="s">
        <v>450</v>
      </c>
      <c r="G7" s="4" t="s">
        <v>451</v>
      </c>
      <c r="H7" s="6" t="s">
        <v>439</v>
      </c>
      <c r="I7" s="4" t="s">
        <v>452</v>
      </c>
    </row>
    <row r="8" spans="1:9" s="8" customFormat="1" ht="90" customHeight="1" x14ac:dyDescent="0.3">
      <c r="A8" s="3" t="s">
        <v>453</v>
      </c>
      <c r="B8" s="4" t="s">
        <v>426</v>
      </c>
      <c r="C8" s="4" t="s">
        <v>454</v>
      </c>
      <c r="D8" s="4" t="s">
        <v>455</v>
      </c>
      <c r="E8" s="4" t="s">
        <v>429</v>
      </c>
      <c r="F8" s="4" t="s">
        <v>456</v>
      </c>
      <c r="G8" s="4" t="s">
        <v>457</v>
      </c>
      <c r="H8" s="6" t="s">
        <v>458</v>
      </c>
      <c r="I8" s="4"/>
    </row>
    <row r="9" spans="1:9" s="8" customFormat="1" ht="90" customHeight="1" x14ac:dyDescent="0.3">
      <c r="A9" s="3" t="s">
        <v>459</v>
      </c>
      <c r="B9" s="4" t="s">
        <v>426</v>
      </c>
      <c r="C9" s="4" t="s">
        <v>460</v>
      </c>
      <c r="D9" s="4" t="s">
        <v>461</v>
      </c>
      <c r="E9" s="4" t="s">
        <v>429</v>
      </c>
      <c r="F9" s="4" t="s">
        <v>462</v>
      </c>
      <c r="G9" s="4" t="s">
        <v>463</v>
      </c>
      <c r="H9" s="6" t="s">
        <v>439</v>
      </c>
      <c r="I9" s="4" t="s">
        <v>464</v>
      </c>
    </row>
    <row r="10" spans="1:9" s="8" customFormat="1" ht="90" customHeight="1" x14ac:dyDescent="0.3">
      <c r="A10" s="3" t="s">
        <v>465</v>
      </c>
      <c r="B10" s="4" t="s">
        <v>426</v>
      </c>
      <c r="C10" s="4" t="s">
        <v>466</v>
      </c>
      <c r="D10" s="4" t="s">
        <v>467</v>
      </c>
      <c r="E10" s="4" t="s">
        <v>429</v>
      </c>
      <c r="F10" s="4" t="s">
        <v>468</v>
      </c>
      <c r="G10" s="4" t="s">
        <v>469</v>
      </c>
      <c r="H10" s="6" t="s">
        <v>439</v>
      </c>
      <c r="I10" s="4" t="s">
        <v>470</v>
      </c>
    </row>
    <row r="11" spans="1:9" s="8" customFormat="1" ht="90" customHeight="1" x14ac:dyDescent="0.3">
      <c r="A11" s="3" t="s">
        <v>471</v>
      </c>
      <c r="B11" s="4" t="s">
        <v>426</v>
      </c>
      <c r="C11" s="4" t="s">
        <v>472</v>
      </c>
      <c r="D11" s="4" t="s">
        <v>473</v>
      </c>
      <c r="E11" s="4" t="s">
        <v>429</v>
      </c>
      <c r="F11" s="4" t="s">
        <v>474</v>
      </c>
      <c r="G11" s="4" t="s">
        <v>475</v>
      </c>
      <c r="H11" s="6" t="s">
        <v>458</v>
      </c>
      <c r="I11" s="4" t="s">
        <v>476</v>
      </c>
    </row>
    <row r="12" spans="1:9" s="8" customFormat="1" ht="90" customHeight="1" x14ac:dyDescent="0.3">
      <c r="A12" s="3" t="s">
        <v>477</v>
      </c>
      <c r="B12" s="4" t="s">
        <v>426</v>
      </c>
      <c r="C12" s="4" t="s">
        <v>478</v>
      </c>
      <c r="D12" s="4" t="s">
        <v>479</v>
      </c>
      <c r="E12" s="4" t="s">
        <v>480</v>
      </c>
      <c r="F12" s="4" t="s">
        <v>481</v>
      </c>
      <c r="G12" s="4" t="s">
        <v>482</v>
      </c>
      <c r="H12" s="6" t="s">
        <v>458</v>
      </c>
      <c r="I12" s="4" t="s">
        <v>483</v>
      </c>
    </row>
    <row r="13" spans="1:9" s="8" customFormat="1" ht="90" customHeight="1" x14ac:dyDescent="0.3">
      <c r="A13" s="3" t="s">
        <v>484</v>
      </c>
      <c r="B13" s="4" t="s">
        <v>426</v>
      </c>
      <c r="C13" s="4" t="s">
        <v>485</v>
      </c>
      <c r="D13" s="4" t="s">
        <v>486</v>
      </c>
      <c r="E13" s="4" t="s">
        <v>480</v>
      </c>
      <c r="F13" s="4" t="s">
        <v>487</v>
      </c>
      <c r="G13" s="4" t="s">
        <v>488</v>
      </c>
      <c r="H13" s="6" t="s">
        <v>439</v>
      </c>
      <c r="I13" s="4" t="s">
        <v>489</v>
      </c>
    </row>
    <row r="14" spans="1:9" s="8" customFormat="1" ht="90" customHeight="1" x14ac:dyDescent="0.3">
      <c r="A14" s="3" t="s">
        <v>490</v>
      </c>
      <c r="B14" s="4" t="s">
        <v>491</v>
      </c>
      <c r="C14" s="4" t="s">
        <v>492</v>
      </c>
      <c r="D14" s="4" t="s">
        <v>493</v>
      </c>
      <c r="E14" s="4" t="s">
        <v>429</v>
      </c>
      <c r="F14" s="4" t="s">
        <v>494</v>
      </c>
      <c r="G14" s="4"/>
      <c r="H14" s="6" t="s">
        <v>108</v>
      </c>
      <c r="I14" s="4" t="s">
        <v>495</v>
      </c>
    </row>
    <row r="15" spans="1:9" s="8" customFormat="1" ht="90" customHeight="1" x14ac:dyDescent="0.3">
      <c r="A15" s="3" t="s">
        <v>496</v>
      </c>
      <c r="B15" s="4" t="s">
        <v>491</v>
      </c>
      <c r="C15" s="4" t="s">
        <v>497</v>
      </c>
      <c r="D15" s="4" t="s">
        <v>498</v>
      </c>
      <c r="E15" s="4" t="s">
        <v>429</v>
      </c>
      <c r="F15" s="4" t="s">
        <v>499</v>
      </c>
      <c r="G15" s="4"/>
      <c r="H15" s="6" t="s">
        <v>108</v>
      </c>
      <c r="I15" s="4" t="s">
        <v>500</v>
      </c>
    </row>
    <row r="16" spans="1:9" s="8" customFormat="1" ht="90" customHeight="1" x14ac:dyDescent="0.3">
      <c r="A16" s="3" t="s">
        <v>501</v>
      </c>
      <c r="B16" s="4" t="s">
        <v>491</v>
      </c>
      <c r="C16" s="4" t="s">
        <v>502</v>
      </c>
      <c r="D16" s="4" t="s">
        <v>503</v>
      </c>
      <c r="E16" s="4" t="s">
        <v>429</v>
      </c>
      <c r="F16" s="4" t="s">
        <v>504</v>
      </c>
      <c r="G16" s="4"/>
      <c r="H16" s="6" t="s">
        <v>108</v>
      </c>
      <c r="I16" s="4" t="s">
        <v>505</v>
      </c>
    </row>
    <row r="17" spans="1:9" s="8" customFormat="1" ht="90" customHeight="1" x14ac:dyDescent="0.3">
      <c r="A17" s="3" t="s">
        <v>506</v>
      </c>
      <c r="B17" s="4" t="s">
        <v>507</v>
      </c>
      <c r="C17" s="4" t="s">
        <v>508</v>
      </c>
      <c r="D17" s="4" t="s">
        <v>509</v>
      </c>
      <c r="E17" s="4" t="s">
        <v>429</v>
      </c>
      <c r="F17" s="4" t="s">
        <v>510</v>
      </c>
      <c r="G17" s="4"/>
      <c r="H17" s="6" t="s">
        <v>108</v>
      </c>
      <c r="I17" s="4" t="s">
        <v>511</v>
      </c>
    </row>
    <row r="18" spans="1:9" s="8" customFormat="1" ht="90" customHeight="1" x14ac:dyDescent="0.3">
      <c r="A18" s="3" t="s">
        <v>512</v>
      </c>
      <c r="B18" s="4" t="s">
        <v>507</v>
      </c>
      <c r="C18" s="4" t="s">
        <v>513</v>
      </c>
      <c r="D18" s="4" t="s">
        <v>514</v>
      </c>
      <c r="E18" s="4" t="s">
        <v>429</v>
      </c>
      <c r="F18" s="4" t="s">
        <v>515</v>
      </c>
      <c r="G18" s="4"/>
      <c r="H18" s="6" t="s">
        <v>108</v>
      </c>
      <c r="I18" s="4" t="s">
        <v>516</v>
      </c>
    </row>
    <row r="19" spans="1:9" s="8" customFormat="1" ht="90" customHeight="1" x14ac:dyDescent="0.3">
      <c r="A19" s="3" t="s">
        <v>517</v>
      </c>
      <c r="B19" s="4" t="s">
        <v>507</v>
      </c>
      <c r="C19" s="4" t="s">
        <v>518</v>
      </c>
      <c r="D19" s="4" t="s">
        <v>519</v>
      </c>
      <c r="E19" s="4" t="s">
        <v>429</v>
      </c>
      <c r="F19" s="4" t="s">
        <v>520</v>
      </c>
      <c r="G19" s="4"/>
      <c r="H19" s="6" t="s">
        <v>108</v>
      </c>
      <c r="I19" s="4" t="s">
        <v>521</v>
      </c>
    </row>
    <row r="20" spans="1:9" s="8" customFormat="1" ht="90" customHeight="1" x14ac:dyDescent="0.3">
      <c r="A20" s="3" t="s">
        <v>522</v>
      </c>
      <c r="B20" s="4" t="s">
        <v>507</v>
      </c>
      <c r="C20" s="4" t="s">
        <v>523</v>
      </c>
      <c r="D20" s="4" t="s">
        <v>524</v>
      </c>
      <c r="E20" s="4" t="s">
        <v>429</v>
      </c>
      <c r="F20" s="4" t="s">
        <v>525</v>
      </c>
      <c r="G20" s="4"/>
      <c r="H20" s="6" t="s">
        <v>108</v>
      </c>
      <c r="I20" s="4" t="s">
        <v>526</v>
      </c>
    </row>
    <row r="21" spans="1:9" s="8" customFormat="1" ht="90" customHeight="1" x14ac:dyDescent="0.3">
      <c r="A21" s="3" t="s">
        <v>527</v>
      </c>
      <c r="B21" s="4" t="s">
        <v>507</v>
      </c>
      <c r="C21" s="4" t="s">
        <v>528</v>
      </c>
      <c r="D21" s="4" t="s">
        <v>529</v>
      </c>
      <c r="E21" s="4" t="s">
        <v>429</v>
      </c>
      <c r="F21" s="4" t="s">
        <v>530</v>
      </c>
      <c r="G21" s="4"/>
      <c r="H21" s="6" t="s">
        <v>108</v>
      </c>
      <c r="I21" s="4" t="s">
        <v>531</v>
      </c>
    </row>
    <row r="22" spans="1:9" s="8" customFormat="1" ht="90" customHeight="1" x14ac:dyDescent="0.3">
      <c r="A22" s="3" t="s">
        <v>532</v>
      </c>
      <c r="B22" s="4" t="s">
        <v>533</v>
      </c>
      <c r="C22" s="4" t="s">
        <v>534</v>
      </c>
      <c r="D22" s="4" t="s">
        <v>535</v>
      </c>
      <c r="E22" s="4" t="s">
        <v>536</v>
      </c>
      <c r="F22" s="4" t="s">
        <v>537</v>
      </c>
      <c r="G22" s="4"/>
      <c r="H22" s="6" t="s">
        <v>108</v>
      </c>
      <c r="I22" s="4" t="s">
        <v>538</v>
      </c>
    </row>
    <row r="23" spans="1:9" s="8" customFormat="1" ht="90" customHeight="1" x14ac:dyDescent="0.3">
      <c r="A23" s="3" t="s">
        <v>539</v>
      </c>
      <c r="B23" s="4" t="s">
        <v>533</v>
      </c>
      <c r="C23" s="4" t="s">
        <v>540</v>
      </c>
      <c r="D23" s="4" t="s">
        <v>541</v>
      </c>
      <c r="E23" s="4" t="s">
        <v>536</v>
      </c>
      <c r="F23" s="4" t="s">
        <v>542</v>
      </c>
      <c r="G23" s="4"/>
      <c r="H23" s="6" t="s">
        <v>108</v>
      </c>
      <c r="I23" s="4" t="s">
        <v>543</v>
      </c>
    </row>
    <row r="24" spans="1:9" s="8" customFormat="1" ht="90" customHeight="1" x14ac:dyDescent="0.3">
      <c r="A24" s="3" t="s">
        <v>544</v>
      </c>
      <c r="B24" s="4" t="s">
        <v>533</v>
      </c>
      <c r="C24" s="4" t="s">
        <v>545</v>
      </c>
      <c r="D24" s="4" t="s">
        <v>546</v>
      </c>
      <c r="E24" s="4" t="s">
        <v>536</v>
      </c>
      <c r="F24" s="4" t="s">
        <v>547</v>
      </c>
      <c r="G24" s="4"/>
      <c r="H24" s="6" t="s">
        <v>108</v>
      </c>
      <c r="I24" s="4" t="s">
        <v>548</v>
      </c>
    </row>
    <row r="25" spans="1:9" s="8" customFormat="1" ht="90" customHeight="1" x14ac:dyDescent="0.3">
      <c r="A25" s="3" t="s">
        <v>549</v>
      </c>
      <c r="B25" s="4" t="s">
        <v>533</v>
      </c>
      <c r="C25" s="4" t="s">
        <v>550</v>
      </c>
      <c r="D25" s="4" t="s">
        <v>551</v>
      </c>
      <c r="E25" s="4" t="s">
        <v>536</v>
      </c>
      <c r="F25" s="4" t="s">
        <v>552</v>
      </c>
      <c r="G25" s="4"/>
      <c r="H25" s="6" t="s">
        <v>108</v>
      </c>
      <c r="I25" s="4" t="s">
        <v>553</v>
      </c>
    </row>
    <row r="26" spans="1:9" s="8" customFormat="1" ht="90" customHeight="1" x14ac:dyDescent="0.3">
      <c r="A26" s="3" t="s">
        <v>554</v>
      </c>
      <c r="B26" s="4" t="s">
        <v>533</v>
      </c>
      <c r="C26" s="4" t="s">
        <v>555</v>
      </c>
      <c r="D26" s="4" t="s">
        <v>556</v>
      </c>
      <c r="E26" s="4" t="s">
        <v>429</v>
      </c>
      <c r="F26" s="4" t="s">
        <v>557</v>
      </c>
      <c r="G26" s="4"/>
      <c r="H26" s="6" t="s">
        <v>108</v>
      </c>
      <c r="I26" s="4" t="s">
        <v>558</v>
      </c>
    </row>
    <row r="27" spans="1:9" s="8" customFormat="1" ht="90" customHeight="1" x14ac:dyDescent="0.3">
      <c r="A27" s="3" t="s">
        <v>559</v>
      </c>
      <c r="B27" s="4" t="s">
        <v>560</v>
      </c>
      <c r="C27" s="4" t="s">
        <v>561</v>
      </c>
      <c r="D27" s="4" t="s">
        <v>562</v>
      </c>
      <c r="E27" s="4" t="s">
        <v>563</v>
      </c>
      <c r="F27" s="4" t="s">
        <v>564</v>
      </c>
      <c r="G27" s="4" t="s">
        <v>565</v>
      </c>
      <c r="H27" s="6" t="s">
        <v>108</v>
      </c>
      <c r="I27" s="4"/>
    </row>
    <row r="28" spans="1:9" s="8" customFormat="1" ht="90" customHeight="1" x14ac:dyDescent="0.3">
      <c r="A28" s="3" t="s">
        <v>566</v>
      </c>
      <c r="B28" s="4" t="s">
        <v>560</v>
      </c>
      <c r="C28" s="4" t="s">
        <v>567</v>
      </c>
      <c r="D28" s="4" t="s">
        <v>568</v>
      </c>
      <c r="E28" s="4" t="s">
        <v>563</v>
      </c>
      <c r="F28" s="4" t="s">
        <v>569</v>
      </c>
      <c r="G28" s="4" t="s">
        <v>570</v>
      </c>
      <c r="H28" s="6" t="s">
        <v>108</v>
      </c>
      <c r="I28" s="4"/>
    </row>
    <row r="29" spans="1:9" s="8" customFormat="1" ht="90" customHeight="1" x14ac:dyDescent="0.3">
      <c r="A29" s="3" t="s">
        <v>571</v>
      </c>
      <c r="B29" s="4" t="s">
        <v>560</v>
      </c>
      <c r="C29" s="4" t="s">
        <v>572</v>
      </c>
      <c r="D29" s="4" t="s">
        <v>573</v>
      </c>
      <c r="E29" s="4" t="s">
        <v>563</v>
      </c>
      <c r="F29" s="4" t="s">
        <v>574</v>
      </c>
      <c r="G29" s="4" t="s">
        <v>575</v>
      </c>
      <c r="H29" s="6" t="s">
        <v>108</v>
      </c>
      <c r="I29" s="4"/>
    </row>
    <row r="30" spans="1:9" s="8" customFormat="1" ht="90" customHeight="1" x14ac:dyDescent="0.3">
      <c r="A30" s="3" t="s">
        <v>576</v>
      </c>
      <c r="B30" s="4" t="s">
        <v>560</v>
      </c>
      <c r="C30" s="4" t="s">
        <v>577</v>
      </c>
      <c r="D30" s="4" t="s">
        <v>578</v>
      </c>
      <c r="E30" s="4" t="s">
        <v>563</v>
      </c>
      <c r="F30" s="4" t="s">
        <v>579</v>
      </c>
      <c r="G30" s="4" t="s">
        <v>580</v>
      </c>
      <c r="H30" s="6" t="s">
        <v>108</v>
      </c>
      <c r="I30" s="4"/>
    </row>
    <row r="31" spans="1:9" s="8" customFormat="1" ht="90" customHeight="1" x14ac:dyDescent="0.3">
      <c r="A31" s="3" t="s">
        <v>581</v>
      </c>
      <c r="B31" s="4" t="s">
        <v>560</v>
      </c>
      <c r="C31" s="4" t="s">
        <v>582</v>
      </c>
      <c r="D31" s="4" t="s">
        <v>583</v>
      </c>
      <c r="E31" s="4" t="s">
        <v>563</v>
      </c>
      <c r="F31" s="4" t="s">
        <v>584</v>
      </c>
      <c r="G31" s="4" t="s">
        <v>585</v>
      </c>
      <c r="H31" s="6" t="s">
        <v>108</v>
      </c>
      <c r="I31" s="4"/>
    </row>
    <row r="32" spans="1:9" s="8" customFormat="1" ht="90" customHeight="1" x14ac:dyDescent="0.3">
      <c r="A32" s="3" t="s">
        <v>139</v>
      </c>
      <c r="B32" s="4" t="s">
        <v>560</v>
      </c>
      <c r="C32" s="4" t="s">
        <v>130</v>
      </c>
      <c r="D32" s="4" t="s">
        <v>586</v>
      </c>
      <c r="E32" s="4" t="s">
        <v>563</v>
      </c>
      <c r="F32" s="4" t="s">
        <v>587</v>
      </c>
      <c r="G32" s="4" t="s">
        <v>588</v>
      </c>
      <c r="H32" s="6" t="s">
        <v>108</v>
      </c>
      <c r="I32" s="4"/>
    </row>
    <row r="33" spans="1:9" s="8" customFormat="1" ht="90" customHeight="1" x14ac:dyDescent="0.3">
      <c r="A33" s="3" t="s">
        <v>589</v>
      </c>
      <c r="B33" s="4" t="s">
        <v>560</v>
      </c>
      <c r="C33" s="4" t="s">
        <v>92</v>
      </c>
      <c r="D33" s="4" t="s">
        <v>590</v>
      </c>
      <c r="E33" s="4" t="s">
        <v>563</v>
      </c>
      <c r="F33" s="4" t="s">
        <v>591</v>
      </c>
      <c r="G33" s="4" t="s">
        <v>592</v>
      </c>
      <c r="H33" s="6" t="s">
        <v>108</v>
      </c>
      <c r="I33" s="4"/>
    </row>
    <row r="34" spans="1:9" s="8" customFormat="1" ht="90" customHeight="1" x14ac:dyDescent="0.3">
      <c r="A34" s="3" t="s">
        <v>593</v>
      </c>
      <c r="B34" s="4" t="s">
        <v>560</v>
      </c>
      <c r="C34" s="4" t="s">
        <v>594</v>
      </c>
      <c r="D34" s="4" t="s">
        <v>595</v>
      </c>
      <c r="E34" s="4" t="s">
        <v>563</v>
      </c>
      <c r="F34" s="4" t="s">
        <v>596</v>
      </c>
      <c r="G34" s="4" t="s">
        <v>597</v>
      </c>
      <c r="H34" s="6" t="s">
        <v>108</v>
      </c>
      <c r="I34" s="4"/>
    </row>
    <row r="35" spans="1:9" s="8" customFormat="1" ht="90" customHeight="1" x14ac:dyDescent="0.3">
      <c r="A35" s="3" t="s">
        <v>598</v>
      </c>
      <c r="B35" s="4" t="s">
        <v>560</v>
      </c>
      <c r="C35" s="4" t="s">
        <v>599</v>
      </c>
      <c r="D35" s="4" t="s">
        <v>600</v>
      </c>
      <c r="E35" s="4" t="s">
        <v>563</v>
      </c>
      <c r="F35" s="4" t="s">
        <v>601</v>
      </c>
      <c r="G35" s="4" t="s">
        <v>602</v>
      </c>
      <c r="H35" s="6" t="s">
        <v>108</v>
      </c>
      <c r="I35" s="4"/>
    </row>
    <row r="36" spans="1:9" s="8" customFormat="1" ht="90" customHeight="1" x14ac:dyDescent="0.3">
      <c r="A36" s="3" t="s">
        <v>603</v>
      </c>
      <c r="B36" s="4" t="s">
        <v>560</v>
      </c>
      <c r="C36" s="4" t="s">
        <v>604</v>
      </c>
      <c r="D36" s="4" t="s">
        <v>605</v>
      </c>
      <c r="E36" s="4" t="s">
        <v>563</v>
      </c>
      <c r="F36" s="4" t="s">
        <v>606</v>
      </c>
      <c r="G36" s="4"/>
      <c r="H36" s="6" t="s">
        <v>108</v>
      </c>
      <c r="I36" s="4"/>
    </row>
    <row r="37" spans="1:9" s="8" customFormat="1" ht="90" customHeight="1" x14ac:dyDescent="0.3">
      <c r="A37" s="3" t="s">
        <v>607</v>
      </c>
      <c r="B37" s="4" t="s">
        <v>560</v>
      </c>
      <c r="C37" s="4" t="s">
        <v>608</v>
      </c>
      <c r="D37" s="4" t="s">
        <v>609</v>
      </c>
      <c r="E37" s="4" t="s">
        <v>563</v>
      </c>
      <c r="F37" s="4" t="s">
        <v>606</v>
      </c>
      <c r="G37" s="4"/>
      <c r="H37" s="6" t="s">
        <v>108</v>
      </c>
      <c r="I37" s="4"/>
    </row>
    <row r="38" spans="1:9" s="8" customFormat="1" ht="90" customHeight="1" x14ac:dyDescent="0.3">
      <c r="A38" s="3" t="s">
        <v>610</v>
      </c>
      <c r="B38" s="4" t="s">
        <v>560</v>
      </c>
      <c r="C38" s="4" t="s">
        <v>611</v>
      </c>
      <c r="D38" s="4" t="s">
        <v>612</v>
      </c>
      <c r="E38" s="4" t="s">
        <v>563</v>
      </c>
      <c r="F38" s="4" t="s">
        <v>606</v>
      </c>
      <c r="G38" s="4"/>
      <c r="H38" s="6" t="s">
        <v>108</v>
      </c>
      <c r="I38" s="4"/>
    </row>
  </sheetData>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Incidents &amp; thresholds</vt:lpstr>
      <vt:lpstr>Threshold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Jeevitha Balaraman</cp:lastModifiedBy>
  <dcterms:created xsi:type="dcterms:W3CDTF">2026-09-28T06:15:46Z</dcterms:created>
  <dcterms:modified xsi:type="dcterms:W3CDTF">2026-09-29T12:44:12Z</dcterms:modified>
</cp:coreProperties>
</file>